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P&amp;A\"/>
    </mc:Choice>
  </mc:AlternateContent>
  <bookViews>
    <workbookView xWindow="0" yWindow="0" windowWidth="20490" windowHeight="7620" activeTab="1"/>
  </bookViews>
  <sheets>
    <sheet name="Rolling Forecast" sheetId="2" r:id="rId1"/>
    <sheet name="Assumptions" sheetId="1" r:id="rId2"/>
  </sheets>
  <externalReferences>
    <externalReference r:id="rId3"/>
  </externalReferences>
  <calcPr calcId="162913" iterate="1" iterateCount="1000" iterateDelta="0.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C30" i="2"/>
  <c r="D20" i="2"/>
  <c r="E20" i="2"/>
  <c r="F20" i="2"/>
  <c r="G20" i="2"/>
  <c r="H20" i="2"/>
  <c r="I20" i="2"/>
  <c r="J20" i="2"/>
  <c r="K20" i="2"/>
  <c r="L20" i="2"/>
  <c r="M20" i="2"/>
  <c r="N20" i="2"/>
  <c r="D21" i="2"/>
  <c r="E21" i="2"/>
  <c r="F21" i="2"/>
  <c r="G21" i="2"/>
  <c r="H21" i="2"/>
  <c r="I21" i="2"/>
  <c r="J21" i="2"/>
  <c r="K21" i="2"/>
  <c r="L21" i="2"/>
  <c r="M21" i="2"/>
  <c r="N21" i="2"/>
  <c r="C21" i="2"/>
  <c r="C20" i="2"/>
  <c r="E6" i="2"/>
  <c r="C14" i="2" s="1"/>
  <c r="D6" i="2"/>
  <c r="C6" i="2"/>
  <c r="F8" i="2"/>
  <c r="E8" i="2"/>
  <c r="D8" i="2"/>
  <c r="C8" i="2"/>
  <c r="B8" i="2"/>
  <c r="F7" i="2"/>
  <c r="E7" i="2"/>
  <c r="D7" i="2"/>
  <c r="C7" i="2"/>
  <c r="B7" i="2"/>
  <c r="B6" i="2"/>
  <c r="F7" i="1"/>
  <c r="F6" i="2" s="1"/>
  <c r="F15" i="1"/>
  <c r="F14" i="1"/>
  <c r="F13" i="1"/>
  <c r="F12" i="1"/>
  <c r="F11" i="1"/>
  <c r="E10" i="1"/>
  <c r="D10" i="1"/>
  <c r="C10" i="1"/>
  <c r="F9" i="1"/>
  <c r="F8" i="1"/>
  <c r="O21" i="2" l="1"/>
  <c r="C32" i="2"/>
  <c r="O20" i="2"/>
  <c r="C15" i="2"/>
  <c r="C19" i="2"/>
  <c r="C16" i="2"/>
  <c r="D14" i="2"/>
  <c r="F10" i="1"/>
  <c r="D15" i="2" l="1"/>
  <c r="D19" i="2"/>
  <c r="D22" i="2" s="1"/>
  <c r="D16" i="2"/>
  <c r="E14" i="2"/>
  <c r="C22" i="2"/>
  <c r="C17" i="2"/>
  <c r="E19" i="2" l="1"/>
  <c r="E22" i="2" s="1"/>
  <c r="F14" i="2"/>
  <c r="E15" i="2"/>
  <c r="C23" i="2"/>
  <c r="C24" i="2" s="1"/>
  <c r="D17" i="2"/>
  <c r="D23" i="2"/>
  <c r="D24" i="2" s="1"/>
  <c r="G14" i="2" l="1"/>
  <c r="F15" i="2"/>
  <c r="F19" i="2"/>
  <c r="F22" i="2" s="1"/>
  <c r="F16" i="2"/>
  <c r="E16" i="2"/>
  <c r="E17" i="2" l="1"/>
  <c r="E23" i="2"/>
  <c r="E24" i="2" s="1"/>
  <c r="H14" i="2"/>
  <c r="G19" i="2"/>
  <c r="G15" i="2"/>
  <c r="G16" i="2" s="1"/>
  <c r="F23" i="2"/>
  <c r="F24" i="2" s="1"/>
  <c r="F17" i="2"/>
  <c r="G17" i="2" l="1"/>
  <c r="I14" i="2"/>
  <c r="H15" i="2"/>
  <c r="H19" i="2"/>
  <c r="H22" i="2" s="1"/>
  <c r="H16" i="2"/>
  <c r="G22" i="2"/>
  <c r="G23" i="2" s="1"/>
  <c r="G24" i="2" s="1"/>
  <c r="H17" i="2" l="1"/>
  <c r="H23" i="2"/>
  <c r="H24" i="2" s="1"/>
  <c r="J14" i="2"/>
  <c r="I19" i="2"/>
  <c r="I15" i="2"/>
  <c r="I16" i="2" s="1"/>
  <c r="I17" i="2" l="1"/>
  <c r="I22" i="2"/>
  <c r="I23" i="2" s="1"/>
  <c r="I24" i="2" s="1"/>
  <c r="K14" i="2"/>
  <c r="J15" i="2"/>
  <c r="J19" i="2"/>
  <c r="J22" i="2" s="1"/>
  <c r="J16" i="2"/>
  <c r="K19" i="2" l="1"/>
  <c r="K22" i="2" s="1"/>
  <c r="L14" i="2"/>
  <c r="K15" i="2"/>
  <c r="K16" i="2" s="1"/>
  <c r="J23" i="2"/>
  <c r="J24" i="2" s="1"/>
  <c r="J17" i="2"/>
  <c r="K17" i="2" l="1"/>
  <c r="K23" i="2"/>
  <c r="K24" i="2" s="1"/>
  <c r="L15" i="2"/>
  <c r="L19" i="2"/>
  <c r="L22" i="2" s="1"/>
  <c r="L16" i="2"/>
  <c r="M14" i="2"/>
  <c r="N14" i="2" l="1"/>
  <c r="M19" i="2"/>
  <c r="M22" i="2" s="1"/>
  <c r="M15" i="2"/>
  <c r="M16" i="2" s="1"/>
  <c r="L17" i="2"/>
  <c r="L23" i="2"/>
  <c r="L24" i="2" s="1"/>
  <c r="M17" i="2" l="1"/>
  <c r="M23" i="2"/>
  <c r="M24" i="2" s="1"/>
  <c r="O14" i="2"/>
  <c r="D30" i="2" s="1"/>
  <c r="E30" i="2" s="1"/>
  <c r="F30" i="2" s="1"/>
  <c r="N15" i="2"/>
  <c r="O15" i="2" s="1"/>
  <c r="N19" i="2"/>
  <c r="N16" i="2"/>
  <c r="N17" i="2" l="1"/>
  <c r="O16" i="2"/>
  <c r="N22" i="2"/>
  <c r="O22" i="2" s="1"/>
  <c r="O19" i="2"/>
  <c r="O17" i="2" l="1"/>
  <c r="O23" i="2"/>
  <c r="N23" i="2"/>
  <c r="N24" i="2" s="1"/>
  <c r="O24" i="2" l="1"/>
  <c r="D31" i="2"/>
  <c r="D32" i="2" l="1"/>
  <c r="E32" i="2" s="1"/>
  <c r="F32" i="2" s="1"/>
  <c r="E31" i="2"/>
  <c r="F31" i="2" s="1"/>
</calcChain>
</file>

<file path=xl/sharedStrings.xml><?xml version="1.0" encoding="utf-8"?>
<sst xmlns="http://schemas.openxmlformats.org/spreadsheetml/2006/main" count="88" uniqueCount="68">
  <si>
    <t>12 months - Rolling Forecast</t>
  </si>
  <si>
    <t>Q1 2026 Actual (Jan to Mar)</t>
  </si>
  <si>
    <t>Line Item</t>
  </si>
  <si>
    <t>Q1 Total</t>
  </si>
  <si>
    <t>#</t>
  </si>
  <si>
    <t>Revenue</t>
  </si>
  <si>
    <t>Cost of Goods Sold</t>
  </si>
  <si>
    <t>Gross Profit</t>
  </si>
  <si>
    <t>Gross Margin</t>
  </si>
  <si>
    <t>Operting Exp</t>
  </si>
  <si>
    <t xml:space="preserve">  Sales &amp; Marketing</t>
  </si>
  <si>
    <t xml:space="preserve">  Research &amp; Development</t>
  </si>
  <si>
    <t xml:space="preserve">  General &amp; Administrative</t>
  </si>
  <si>
    <t>EBITDA</t>
  </si>
  <si>
    <t>Original FY2025 Budget (for comparison)</t>
  </si>
  <si>
    <t>The budget assumed 5% monthly revenue growth and 68% gross margin. Q1 actuals show slower growth but better margin control.</t>
  </si>
  <si>
    <t>Budget line Item</t>
  </si>
  <si>
    <t>Q1 Budget</t>
  </si>
  <si>
    <t>Full Year</t>
  </si>
  <si>
    <t xml:space="preserve">Revenue </t>
  </si>
  <si>
    <t>Gross Margin %</t>
  </si>
  <si>
    <t>Updated Assumptions (as of Mar 31, 2025):</t>
  </si>
  <si>
    <t>Assumptions</t>
  </si>
  <si>
    <t xml:space="preserve">Value </t>
  </si>
  <si>
    <t>Notes</t>
  </si>
  <si>
    <t>Revenue Growth Rate (Apr-Dec 2025)</t>
  </si>
  <si>
    <t>4% monthly (revised down from budget.)</t>
  </si>
  <si>
    <t>Revenue Growth Rate (Jan-Mar 2026)</t>
  </si>
  <si>
    <t>5% monthly (expecting acceleration)</t>
  </si>
  <si>
    <t>Maintain Q1 Performance</t>
  </si>
  <si>
    <t>S&amp;M % of Revenue</t>
  </si>
  <si>
    <t>(Cost control initiative)</t>
  </si>
  <si>
    <t>Research &amp; Development</t>
  </si>
  <si>
    <t>(continued investment)</t>
  </si>
  <si>
    <t>General &amp; Administrative</t>
  </si>
  <si>
    <t>(Fixed Cost)</t>
  </si>
  <si>
    <t>12- Months Rolling Forecast With Analysis</t>
  </si>
  <si>
    <t>Q1 Actuals (Refrence)</t>
  </si>
  <si>
    <t>12M Total</t>
  </si>
  <si>
    <t>Operating Expenses:</t>
  </si>
  <si>
    <t>Total Operating Expenses</t>
  </si>
  <si>
    <t>EBITDA Margin %</t>
  </si>
  <si>
    <t>Variance Analysis: Forecast vs Original Budget</t>
  </si>
  <si>
    <t>Metric</t>
  </si>
  <si>
    <t>Original FY2025 Budget</t>
  </si>
  <si>
    <t xml:space="preserve">Rolling 12M Forecast </t>
  </si>
  <si>
    <t>Variance ($)</t>
  </si>
  <si>
    <t>Variance (%)</t>
  </si>
  <si>
    <t>Key Insights &amp; Commentary</t>
  </si>
  <si>
    <t>1. Revenue Trajectory:</t>
  </si>
  <si>
    <t>The rolling 12 month forecast (Apr 2026 - Mar 2027) Projects $4.87M in revenue, which in $672K (+16%) HIGHER than the orignal FY 2026 full -year budget of $4.2M. However, this comparison is not apples-to-apples: the budget covers Jan-Dec 2026 while the roliing forecast covers Apr-Mar 2027, which include three additional Q1 2027 months growing at  5% On a comparable basis (Apr-Dec 2026 only), the  the forecast of 3.41M is modestly ahead of the implied budget remainder of $3.23M (+$97K, +3%) - reflecting slower-than-bugeted monthly gorwth (4% vs 5%) offset by a stronger-than-expected Q1 actuals base.</t>
  </si>
  <si>
    <t>2. Profitability Timeline:</t>
  </si>
  <si>
    <t>Rolling Forecast Apr 2026 - Mar 2027</t>
  </si>
  <si>
    <t>Fed 26</t>
  </si>
  <si>
    <t>EBITDA turns positive staring Jul-26 and improves steadily throught mar-27. EBITDA margin from -3.3% in Apr-26 to 11.16% by Mar-27. Rolling 12-month EBITDA total $242K, compared to budget EBITDA of $150K. This indicates the buisiness us expected to cross operating breakeven mid-year and achieve incerasing operating leverage as revenue scales.</t>
  </si>
  <si>
    <t>3. Operating Levergae</t>
  </si>
  <si>
    <t>With 70% gross margin and operating expenses growing at a slower pace than revenue, operating leverage is clearly visible. Gross profit grows faster than operating expenses. EBITDA margin expands by ~15% points across.</t>
  </si>
  <si>
    <t>4.Key Assumptions &amp; Risk</t>
  </si>
  <si>
    <t>• Revenue growth rate (4% then 5%): Risk if market deteriorates further.</t>
  </si>
  <si>
    <t>• Gross margin maintenance at 70%: Dependent on pricing power and COGS control.</t>
  </si>
  <si>
    <t>• Sales &amp; Marketing grows in line with revenue.</t>
  </si>
  <si>
    <t>• R&amp;D and G&amp;A largely fixed, supporting margin expansion.</t>
  </si>
  <si>
    <t>Recommendations for Management</t>
  </si>
  <si>
    <t>1. Protect revenue momentum: Sales execution and pipeline health should be top priorities.</t>
  </si>
  <si>
    <t>3. Maintain OpEx discipline: Allow fixed costs (R&amp;D, G&amp;A) to grow slower than revenue to preserve operating leverage.</t>
  </si>
  <si>
    <t>2. Focus on gross margin: The 70% margin is a competitive advantage - protect it.</t>
  </si>
  <si>
    <t>4. Plan for Q1 2026 investments: To achieve 5% growth, may need sales &amp; marketing investments in Q4 2026</t>
  </si>
  <si>
    <t>5. Implemet monthly reforecasting: Update the rolling forecast each month as actuals come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</si>
</sst>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??_);_(@_)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i/>
      <sz val="11"/>
      <color theme="1" tint="0.14999847407452621"/>
      <name val="Calibri"/>
      <family val="2"/>
    </font>
    <font>
      <b/>
      <i/>
      <sz val="11"/>
      <color theme="1" tint="0.14999847407452621"/>
      <name val="Calibri"/>
      <family val="2"/>
    </font>
    <font>
      <b/>
      <sz val="14"/>
      <color rgb="FFFFFFFF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002060"/>
        <bgColor rgb="FF60983B"/>
      </patternFill>
    </fill>
  </fills>
  <borders count="28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ck">
        <color theme="0"/>
      </right>
      <top style="hair">
        <color auto="1"/>
      </top>
      <bottom style="hair">
        <color auto="1"/>
      </bottom>
      <diagonal/>
    </border>
    <border>
      <left/>
      <right style="thick">
        <color theme="0"/>
      </right>
      <top style="hair">
        <color auto="1"/>
      </top>
      <bottom/>
      <diagonal/>
    </border>
    <border>
      <left/>
      <right style="thick">
        <color theme="0"/>
      </right>
      <top/>
      <bottom style="hair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/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hair">
        <color rgb="FF00206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 style="thick">
        <color theme="0"/>
      </right>
      <top style="hair">
        <color rgb="FF002060"/>
      </top>
      <bottom style="hair">
        <color rgb="FF002060"/>
      </bottom>
      <diagonal/>
    </border>
    <border>
      <left/>
      <right style="thick">
        <color theme="0"/>
      </right>
      <top style="thin">
        <color rgb="FF002060"/>
      </top>
      <bottom style="medium">
        <color rgb="FF002060"/>
      </bottom>
      <diagonal/>
    </border>
    <border>
      <left style="thick">
        <color theme="0"/>
      </left>
      <right style="thick">
        <color theme="0"/>
      </right>
      <top style="hair">
        <color rgb="FF002060"/>
      </top>
      <bottom style="hair">
        <color rgb="FF002060"/>
      </bottom>
      <diagonal/>
    </border>
    <border>
      <left style="thick">
        <color theme="0"/>
      </left>
      <right style="thick">
        <color theme="0"/>
      </right>
      <top style="thin">
        <color rgb="FF002060"/>
      </top>
      <bottom style="medium">
        <color rgb="FF002060"/>
      </bottom>
      <diagonal/>
    </border>
    <border>
      <left/>
      <right style="thick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ck">
        <color theme="0"/>
      </right>
      <top/>
      <bottom style="hair">
        <color rgb="FF002060"/>
      </bottom>
      <diagonal/>
    </border>
    <border>
      <left style="thick">
        <color theme="0"/>
      </left>
      <right style="thick">
        <color theme="0"/>
      </right>
      <top/>
      <bottom style="hair">
        <color rgb="FF002060"/>
      </bottom>
      <diagonal/>
    </border>
    <border>
      <left/>
      <right/>
      <top style="thin">
        <color rgb="FF002060"/>
      </top>
      <bottom/>
      <diagonal/>
    </border>
    <border>
      <left style="thick">
        <color theme="0"/>
      </left>
      <right/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ck">
        <color theme="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6" xfId="0" applyBorder="1"/>
    <xf numFmtId="0" fontId="5" fillId="0" borderId="0" xfId="0" applyFont="1"/>
    <xf numFmtId="0" fontId="7" fillId="3" borderId="2" xfId="0" applyNumberFormat="1" applyFont="1" applyFill="1" applyBorder="1"/>
    <xf numFmtId="17" fontId="7" fillId="3" borderId="2" xfId="0" applyNumberFormat="1" applyFont="1" applyFill="1" applyBorder="1" applyAlignment="1">
      <alignment horizontal="right"/>
    </xf>
    <xf numFmtId="0" fontId="5" fillId="0" borderId="12" xfId="0" applyFont="1" applyBorder="1"/>
    <xf numFmtId="164" fontId="8" fillId="0" borderId="13" xfId="0" applyNumberFormat="1" applyFont="1" applyBorder="1" applyAlignment="1">
      <alignment vertical="top"/>
    </xf>
    <xf numFmtId="0" fontId="5" fillId="0" borderId="14" xfId="0" applyFont="1" applyBorder="1"/>
    <xf numFmtId="10" fontId="8" fillId="0" borderId="13" xfId="1" applyNumberFormat="1" applyFont="1" applyBorder="1" applyAlignment="1">
      <alignment vertical="top"/>
    </xf>
    <xf numFmtId="0" fontId="3" fillId="5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9" fillId="4" borderId="16" xfId="0" applyFont="1" applyFill="1" applyBorder="1" applyAlignment="1">
      <alignment vertical="top"/>
    </xf>
    <xf numFmtId="164" fontId="0" fillId="0" borderId="0" xfId="0" applyNumberFormat="1"/>
    <xf numFmtId="164" fontId="3" fillId="0" borderId="17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10" fontId="10" fillId="0" borderId="6" xfId="1" applyNumberFormat="1" applyFont="1" applyBorder="1" applyAlignment="1">
      <alignment vertical="top"/>
    </xf>
    <xf numFmtId="10" fontId="11" fillId="0" borderId="0" xfId="1" applyNumberFormat="1" applyFont="1"/>
    <xf numFmtId="10" fontId="12" fillId="0" borderId="0" xfId="1" applyNumberFormat="1" applyFont="1"/>
    <xf numFmtId="164" fontId="3" fillId="4" borderId="18" xfId="0" applyNumberFormat="1" applyFont="1" applyFill="1" applyBorder="1" applyAlignment="1">
      <alignment vertical="top"/>
    </xf>
    <xf numFmtId="0" fontId="2" fillId="0" borderId="0" xfId="0" applyFont="1"/>
    <xf numFmtId="0" fontId="5" fillId="0" borderId="15" xfId="0" applyFont="1" applyBorder="1"/>
    <xf numFmtId="164" fontId="0" fillId="0" borderId="17" xfId="0" applyNumberFormat="1" applyBorder="1"/>
    <xf numFmtId="10" fontId="0" fillId="0" borderId="17" xfId="1" applyNumberFormat="1" applyFont="1" applyBorder="1"/>
    <xf numFmtId="0" fontId="0" fillId="0" borderId="15" xfId="0" applyBorder="1"/>
    <xf numFmtId="10" fontId="0" fillId="0" borderId="15" xfId="0" applyNumberFormat="1" applyBorder="1"/>
    <xf numFmtId="17" fontId="3" fillId="5" borderId="2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top" wrapText="1"/>
    </xf>
    <xf numFmtId="4" fontId="7" fillId="0" borderId="0" xfId="0" applyNumberFormat="1" applyFont="1" applyAlignment="1">
      <alignment horizontal="left" vertical="top" wrapText="1"/>
    </xf>
    <xf numFmtId="0" fontId="14" fillId="4" borderId="11" xfId="0" applyFont="1" applyFill="1" applyBorder="1"/>
    <xf numFmtId="4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horizontal="left" wrapText="1"/>
    </xf>
    <xf numFmtId="0" fontId="15" fillId="0" borderId="0" xfId="0" applyFont="1" applyBorder="1" applyAlignment="1">
      <alignment horizontal="left"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/>
    </xf>
    <xf numFmtId="0" fontId="16" fillId="0" borderId="0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3" fillId="6" borderId="0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left"/>
    </xf>
    <xf numFmtId="0" fontId="4" fillId="0" borderId="0" xfId="0" applyFont="1" applyFill="1" applyAlignment="1"/>
    <xf numFmtId="0" fontId="2" fillId="4" borderId="20" xfId="0" applyFont="1" applyFill="1" applyBorder="1"/>
    <xf numFmtId="0" fontId="2" fillId="4" borderId="2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5" fillId="0" borderId="21" xfId="0" applyFont="1" applyBorder="1"/>
    <xf numFmtId="164" fontId="0" fillId="0" borderId="22" xfId="0" applyNumberFormat="1" applyBorder="1"/>
    <xf numFmtId="0" fontId="0" fillId="0" borderId="21" xfId="0" applyBorder="1"/>
    <xf numFmtId="0" fontId="3" fillId="0" borderId="0" xfId="0" applyFont="1" applyFill="1" applyBorder="1" applyAlignment="1">
      <alignment horizontal="left" vertical="top"/>
    </xf>
    <xf numFmtId="0" fontId="17" fillId="0" borderId="0" xfId="0" applyFont="1" applyFill="1" applyAlignment="1">
      <alignment horizontal="left" vertical="center"/>
    </xf>
    <xf numFmtId="0" fontId="7" fillId="3" borderId="0" xfId="0" applyNumberFormat="1" applyFont="1" applyFill="1" applyBorder="1"/>
    <xf numFmtId="17" fontId="7" fillId="3" borderId="0" xfId="0" applyNumberFormat="1" applyFont="1" applyFill="1" applyBorder="1" applyAlignment="1">
      <alignment horizontal="right"/>
    </xf>
    <xf numFmtId="0" fontId="5" fillId="0" borderId="1" xfId="0" applyFont="1" applyBorder="1"/>
    <xf numFmtId="164" fontId="8" fillId="0" borderId="0" xfId="0" applyNumberFormat="1" applyFont="1" applyBorder="1" applyAlignment="1">
      <alignment vertical="top"/>
    </xf>
    <xf numFmtId="164" fontId="5" fillId="0" borderId="1" xfId="0" applyNumberFormat="1" applyFont="1" applyBorder="1"/>
    <xf numFmtId="164" fontId="8" fillId="0" borderId="6" xfId="0" applyNumberFormat="1" applyFont="1" applyBorder="1" applyAlignment="1">
      <alignment vertical="top"/>
    </xf>
    <xf numFmtId="164" fontId="8" fillId="0" borderId="7" xfId="0" applyNumberFormat="1" applyFont="1" applyBorder="1" applyAlignment="1">
      <alignment vertical="top"/>
    </xf>
    <xf numFmtId="0" fontId="8" fillId="4" borderId="3" xfId="0" applyNumberFormat="1" applyFont="1" applyFill="1" applyBorder="1" applyAlignment="1">
      <alignment vertical="top"/>
    </xf>
    <xf numFmtId="164" fontId="8" fillId="4" borderId="8" xfId="0" applyNumberFormat="1" applyFont="1" applyFill="1" applyBorder="1" applyAlignment="1">
      <alignment vertical="top"/>
    </xf>
    <xf numFmtId="164" fontId="5" fillId="4" borderId="3" xfId="0" applyNumberFormat="1" applyFont="1" applyFill="1" applyBorder="1"/>
    <xf numFmtId="0" fontId="5" fillId="0" borderId="4" xfId="0" applyFont="1" applyBorder="1"/>
    <xf numFmtId="10" fontId="8" fillId="0" borderId="9" xfId="0" applyNumberFormat="1" applyFont="1" applyBorder="1" applyAlignment="1">
      <alignment vertical="top"/>
    </xf>
    <xf numFmtId="10" fontId="5" fillId="0" borderId="4" xfId="1" applyNumberFormat="1" applyFont="1" applyBorder="1"/>
    <xf numFmtId="49" fontId="8" fillId="0" borderId="1" xfId="0" applyNumberFormat="1" applyFont="1" applyBorder="1" applyAlignment="1">
      <alignment horizontal="left" vertical="top" indent="1"/>
    </xf>
    <xf numFmtId="49" fontId="8" fillId="0" borderId="5" xfId="0" applyNumberFormat="1" applyFont="1" applyBorder="1" applyAlignment="1">
      <alignment horizontal="left" vertical="top" indent="1"/>
    </xf>
    <xf numFmtId="164" fontId="8" fillId="0" borderId="10" xfId="0" applyNumberFormat="1" applyFont="1" applyBorder="1" applyAlignment="1">
      <alignment vertical="top"/>
    </xf>
    <xf numFmtId="164" fontId="5" fillId="0" borderId="5" xfId="0" applyNumberFormat="1" applyFont="1" applyBorder="1"/>
    <xf numFmtId="0" fontId="9" fillId="3" borderId="2" xfId="0" applyFont="1" applyFill="1" applyBorder="1"/>
    <xf numFmtId="0" fontId="5" fillId="0" borderId="0" xfId="0" applyFont="1" applyBorder="1"/>
    <xf numFmtId="0" fontId="5" fillId="0" borderId="3" xfId="0" applyFont="1" applyBorder="1"/>
    <xf numFmtId="0" fontId="5" fillId="0" borderId="5" xfId="0" applyFont="1" applyBorder="1"/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vertical="top"/>
    </xf>
    <xf numFmtId="0" fontId="5" fillId="2" borderId="0" xfId="0" applyFont="1" applyFill="1"/>
    <xf numFmtId="0" fontId="18" fillId="2" borderId="0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5" fillId="0" borderId="25" xfId="0" applyFont="1" applyBorder="1"/>
    <xf numFmtId="0" fontId="5" fillId="0" borderId="26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49" fontId="8" fillId="0" borderId="24" xfId="0" applyNumberFormat="1" applyFont="1" applyBorder="1" applyAlignment="1">
      <alignment horizontal="left" vertical="top"/>
    </xf>
    <xf numFmtId="49" fontId="8" fillId="0" borderId="14" xfId="0" applyNumberFormat="1" applyFont="1" applyBorder="1" applyAlignment="1">
      <alignment horizontal="left" vertical="top"/>
    </xf>
    <xf numFmtId="0" fontId="5" fillId="0" borderId="24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9" fillId="3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5" fillId="0" borderId="23" xfId="0" applyFont="1" applyBorder="1" applyAlignment="1">
      <alignment horizontal="right"/>
    </xf>
    <xf numFmtId="10" fontId="5" fillId="0" borderId="10" xfId="0" applyNumberFormat="1" applyFont="1" applyBorder="1" applyAlignment="1">
      <alignment horizontal="right"/>
    </xf>
    <xf numFmtId="10" fontId="5" fillId="0" borderId="8" xfId="0" applyNumberFormat="1" applyFont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10" fontId="5" fillId="0" borderId="8" xfId="0" applyNumberFormat="1" applyFont="1" applyBorder="1" applyAlignment="1"/>
    <xf numFmtId="0" fontId="5" fillId="0" borderId="23" xfId="0" applyFont="1" applyBorder="1" applyAlignment="1">
      <alignment horizontal="left"/>
    </xf>
    <xf numFmtId="164" fontId="8" fillId="0" borderId="0" xfId="0" applyNumberFormat="1" applyFont="1" applyBorder="1" applyAlignment="1">
      <alignment horizontal="right" vertical="top"/>
    </xf>
    <xf numFmtId="2" fontId="8" fillId="0" borderId="0" xfId="0" applyNumberFormat="1" applyFont="1" applyBorder="1" applyAlignment="1">
      <alignment horizontal="right" vertical="top"/>
    </xf>
    <xf numFmtId="10" fontId="8" fillId="0" borderId="2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64" fontId="8" fillId="0" borderId="24" xfId="0" applyNumberFormat="1" applyFont="1" applyBorder="1" applyAlignment="1">
      <alignment horizontal="right" vertical="top"/>
    </xf>
    <xf numFmtId="164" fontId="8" fillId="0" borderId="14" xfId="0" applyNumberFormat="1" applyFont="1" applyBorder="1" applyAlignment="1">
      <alignment horizontal="right" vertical="top"/>
    </xf>
    <xf numFmtId="2" fontId="8" fillId="0" borderId="14" xfId="0" applyNumberFormat="1" applyFont="1" applyBorder="1" applyAlignment="1">
      <alignment horizontal="right" vertical="top"/>
    </xf>
    <xf numFmtId="0" fontId="17" fillId="0" borderId="0" xfId="0" applyFont="1" applyAlignment="1">
      <alignment horizontal="left" vertical="top" wrapText="1"/>
    </xf>
    <xf numFmtId="0" fontId="0" fillId="2" borderId="0" xfId="0" applyFill="1"/>
    <xf numFmtId="0" fontId="9" fillId="2" borderId="0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ime/Downloads/Variance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olution"/>
    </sheetNames>
    <sheetDataSet>
      <sheetData sheetId="0">
        <row r="11">
          <cell r="C11">
            <v>0.7</v>
          </cell>
          <cell r="D11">
            <v>0.7</v>
          </cell>
          <cell r="E11">
            <v>0.7</v>
          </cell>
          <cell r="F11">
            <v>0.7</v>
          </cell>
        </row>
        <row r="16">
          <cell r="C16">
            <v>-24000</v>
          </cell>
          <cell r="D16">
            <v>-18500</v>
          </cell>
          <cell r="E16">
            <v>-13000</v>
          </cell>
          <cell r="F16">
            <v>-55500</v>
          </cell>
        </row>
        <row r="23">
          <cell r="B23" t="str">
            <v xml:space="preserve">Revenue </v>
          </cell>
        </row>
        <row r="24">
          <cell r="B24" t="str">
            <v>Gross Margin %</v>
          </cell>
        </row>
        <row r="25">
          <cell r="B25" t="str">
            <v>EBITDA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2:P59"/>
  <sheetViews>
    <sheetView showGridLines="0" topLeftCell="A38" zoomScale="85" zoomScaleNormal="85" workbookViewId="0">
      <selection activeCell="B59" sqref="B59:O59"/>
    </sheetView>
  </sheetViews>
  <sheetFormatPr defaultRowHeight="15" x14ac:dyDescent="0.25"/>
  <cols>
    <col min="1" max="1" width="1.85546875" customWidth="1"/>
    <col min="2" max="2" width="24.7109375" bestFit="1" customWidth="1"/>
    <col min="3" max="3" width="14.85546875" customWidth="1"/>
    <col min="4" max="4" width="13.28515625" bestFit="1" customWidth="1"/>
    <col min="5" max="14" width="12.140625" bestFit="1" customWidth="1"/>
    <col min="15" max="15" width="13.28515625" bestFit="1" customWidth="1"/>
  </cols>
  <sheetData>
    <row r="2" spans="1:16" ht="21" x14ac:dyDescent="0.35">
      <c r="B2" s="39" t="s">
        <v>36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4"/>
    </row>
    <row r="4" spans="1:16" ht="18.75" x14ac:dyDescent="0.3">
      <c r="A4" s="3" t="s">
        <v>4</v>
      </c>
      <c r="B4" s="40" t="s">
        <v>37</v>
      </c>
      <c r="C4" s="40"/>
      <c r="D4" s="40"/>
      <c r="E4" s="40"/>
      <c r="F4" s="40"/>
    </row>
    <row r="5" spans="1:16" ht="15.75" x14ac:dyDescent="0.25">
      <c r="A5" s="3"/>
      <c r="B5" s="4" t="s">
        <v>2</v>
      </c>
      <c r="C5" s="5">
        <v>46023</v>
      </c>
      <c r="D5" s="5" t="s">
        <v>53</v>
      </c>
      <c r="E5" s="5">
        <v>46082</v>
      </c>
      <c r="F5" s="5" t="s">
        <v>3</v>
      </c>
    </row>
    <row r="6" spans="1:16" x14ac:dyDescent="0.25">
      <c r="A6" s="3"/>
      <c r="B6" s="6" t="str">
        <f>[1]Sheet1!B23</f>
        <v xml:space="preserve">Revenue </v>
      </c>
      <c r="C6" s="7">
        <f>Assumptions!C7</f>
        <v>280000</v>
      </c>
      <c r="D6" s="7">
        <f>Assumptions!D7</f>
        <v>295000</v>
      </c>
      <c r="E6" s="7">
        <f>Assumptions!E7</f>
        <v>310000</v>
      </c>
      <c r="F6" s="7">
        <f>Assumptions!F7</f>
        <v>885000</v>
      </c>
    </row>
    <row r="7" spans="1:16" x14ac:dyDescent="0.25">
      <c r="A7" s="3"/>
      <c r="B7" s="8" t="str">
        <f>[1]Sheet1!B24</f>
        <v>Gross Margin %</v>
      </c>
      <c r="C7" s="9">
        <f>[1]Sheet1!C11</f>
        <v>0.7</v>
      </c>
      <c r="D7" s="9">
        <f>[1]Sheet1!D11</f>
        <v>0.7</v>
      </c>
      <c r="E7" s="9">
        <f>[1]Sheet1!E11</f>
        <v>0.7</v>
      </c>
      <c r="F7" s="9">
        <f>[1]Sheet1!F11</f>
        <v>0.7</v>
      </c>
    </row>
    <row r="8" spans="1:16" x14ac:dyDescent="0.25">
      <c r="A8" s="3"/>
      <c r="B8" s="8" t="str">
        <f>[1]Sheet1!B25</f>
        <v>EBITDA</v>
      </c>
      <c r="C8" s="7">
        <f>[1]Sheet1!C16</f>
        <v>-24000</v>
      </c>
      <c r="D8" s="7">
        <f>[1]Sheet1!D16</f>
        <v>-18500</v>
      </c>
      <c r="E8" s="7">
        <f>[1]Sheet1!E16</f>
        <v>-13000</v>
      </c>
      <c r="F8" s="7">
        <f>[1]Sheet1!F16</f>
        <v>-55500</v>
      </c>
    </row>
    <row r="11" spans="1:16" ht="18.75" x14ac:dyDescent="0.3">
      <c r="B11" s="40" t="s">
        <v>52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6" x14ac:dyDescent="0.25">
      <c r="B12" s="10" t="s">
        <v>2</v>
      </c>
      <c r="C12" s="29">
        <v>46113</v>
      </c>
      <c r="D12" s="29">
        <v>46143</v>
      </c>
      <c r="E12" s="29">
        <v>46174</v>
      </c>
      <c r="F12" s="29">
        <v>46204</v>
      </c>
      <c r="G12" s="29">
        <v>46235</v>
      </c>
      <c r="H12" s="29">
        <v>46266</v>
      </c>
      <c r="I12" s="29">
        <v>46296</v>
      </c>
      <c r="J12" s="29">
        <v>46327</v>
      </c>
      <c r="K12" s="29">
        <v>46357</v>
      </c>
      <c r="L12" s="29">
        <v>46388</v>
      </c>
      <c r="M12" s="29">
        <v>46419</v>
      </c>
      <c r="N12" s="29">
        <v>46447</v>
      </c>
      <c r="O12" s="10" t="s">
        <v>38</v>
      </c>
    </row>
    <row r="13" spans="1:16" ht="3.75" customHeight="1" x14ac:dyDescent="0.25"/>
    <row r="14" spans="1:16" x14ac:dyDescent="0.25">
      <c r="B14" s="11" t="s">
        <v>5</v>
      </c>
      <c r="C14" s="15">
        <f>E6*(1+Assumptions!$C$30)</f>
        <v>322400</v>
      </c>
      <c r="D14" s="15">
        <f>C14*(1+Assumptions!$C$30)</f>
        <v>335296</v>
      </c>
      <c r="E14" s="15">
        <f>D14*(1+Assumptions!$C$30)</f>
        <v>348707.84000000003</v>
      </c>
      <c r="F14" s="15">
        <f>E14*(1+Assumptions!$C$30)</f>
        <v>362656.15360000002</v>
      </c>
      <c r="G14" s="15">
        <f>F14*(1+Assumptions!$C$30)</f>
        <v>377162.39974400005</v>
      </c>
      <c r="H14" s="15">
        <f>G14*(1+Assumptions!$C$30)</f>
        <v>392248.89573376009</v>
      </c>
      <c r="I14" s="15">
        <f>H14*(1+Assumptions!$C$30)</f>
        <v>407938.85156311048</v>
      </c>
      <c r="J14" s="15">
        <f>I14*(1+Assumptions!$C$30)</f>
        <v>424256.40562563494</v>
      </c>
      <c r="K14" s="15">
        <f>J14*(1+Assumptions!$C$30)</f>
        <v>441226.66185066034</v>
      </c>
      <c r="L14" s="15">
        <f>K14*(1+Assumptions!$C$31)</f>
        <v>463287.99494319339</v>
      </c>
      <c r="M14" s="15">
        <f>L14*(1+Assumptions!$C$31)</f>
        <v>486452.39469035307</v>
      </c>
      <c r="N14" s="15">
        <f>M14*(1+Assumptions!$C$31)</f>
        <v>510775.01442487072</v>
      </c>
      <c r="O14" s="15">
        <f>SUM(C14:N14)</f>
        <v>4872408.6121755829</v>
      </c>
    </row>
    <row r="15" spans="1:16" x14ac:dyDescent="0.25">
      <c r="B15" s="11" t="s">
        <v>6</v>
      </c>
      <c r="C15" s="15">
        <f>C14*(1-Assumptions!$C$32)</f>
        <v>96720.000000000015</v>
      </c>
      <c r="D15" s="15">
        <f>D14*(1-Assumptions!$C$32)</f>
        <v>100588.80000000002</v>
      </c>
      <c r="E15" s="15">
        <f>E14*(1-Assumptions!$C$32)</f>
        <v>104612.35200000003</v>
      </c>
      <c r="F15" s="15">
        <f>F14*(1-Assumptions!$C$32)</f>
        <v>108796.84608000002</v>
      </c>
      <c r="G15" s="15">
        <f>G14*(1-Assumptions!$C$32)</f>
        <v>113148.71992320003</v>
      </c>
      <c r="H15" s="15">
        <f>H14*(1-Assumptions!$C$32)</f>
        <v>117674.66872012804</v>
      </c>
      <c r="I15" s="15">
        <f>I14*(1-Assumptions!$C$32)</f>
        <v>122381.65546893317</v>
      </c>
      <c r="J15" s="15">
        <f>J14*(1-Assumptions!$C$32)</f>
        <v>127276.9216876905</v>
      </c>
      <c r="K15" s="15">
        <f>K14*(1-Assumptions!$C$32)</f>
        <v>132367.99855519811</v>
      </c>
      <c r="L15" s="15">
        <f>L14*(1-Assumptions!$C$32)</f>
        <v>138986.39848295803</v>
      </c>
      <c r="M15" s="15">
        <f>M14*(1-Assumptions!$C$32)</f>
        <v>145935.71840710595</v>
      </c>
      <c r="N15" s="15">
        <f>N14*(1-Assumptions!$C$32)</f>
        <v>153232.50432746124</v>
      </c>
      <c r="O15" s="15">
        <f t="shared" ref="O15:O16" si="0">SUM(C15:N15)</f>
        <v>1461722.5836526752</v>
      </c>
    </row>
    <row r="16" spans="1:16" x14ac:dyDescent="0.25">
      <c r="B16" s="12" t="s">
        <v>7</v>
      </c>
      <c r="C16" s="16">
        <f>C14-C15</f>
        <v>225680</v>
      </c>
      <c r="D16" s="16">
        <f t="shared" ref="D16:N16" si="1">D14-D15</f>
        <v>234707.19999999998</v>
      </c>
      <c r="E16" s="16">
        <f t="shared" si="1"/>
        <v>244095.48800000001</v>
      </c>
      <c r="F16" s="16">
        <f t="shared" si="1"/>
        <v>253859.30752</v>
      </c>
      <c r="G16" s="16">
        <f t="shared" si="1"/>
        <v>264013.67982080003</v>
      </c>
      <c r="H16" s="16">
        <f t="shared" si="1"/>
        <v>274574.22701363207</v>
      </c>
      <c r="I16" s="16">
        <f t="shared" si="1"/>
        <v>285557.19609417731</v>
      </c>
      <c r="J16" s="16">
        <f t="shared" si="1"/>
        <v>296979.48393794446</v>
      </c>
      <c r="K16" s="16">
        <f t="shared" si="1"/>
        <v>308858.66329546226</v>
      </c>
      <c r="L16" s="16">
        <f t="shared" si="1"/>
        <v>324301.59646023536</v>
      </c>
      <c r="M16" s="16">
        <f t="shared" si="1"/>
        <v>340516.67628324713</v>
      </c>
      <c r="N16" s="16">
        <f t="shared" si="1"/>
        <v>357542.51009740948</v>
      </c>
      <c r="O16" s="16">
        <f t="shared" si="0"/>
        <v>3410686.0285229082</v>
      </c>
    </row>
    <row r="17" spans="2:15" x14ac:dyDescent="0.25">
      <c r="B17" s="18" t="s">
        <v>20</v>
      </c>
      <c r="C17" s="20">
        <f>C16/C14</f>
        <v>0.7</v>
      </c>
      <c r="D17" s="20">
        <f t="shared" ref="D17:N17" si="2">D16/D14</f>
        <v>0.7</v>
      </c>
      <c r="E17" s="20">
        <f t="shared" si="2"/>
        <v>0.7</v>
      </c>
      <c r="F17" s="20">
        <f t="shared" si="2"/>
        <v>0.7</v>
      </c>
      <c r="G17" s="20">
        <f t="shared" si="2"/>
        <v>0.7</v>
      </c>
      <c r="H17" s="20">
        <f t="shared" si="2"/>
        <v>0.70000000000000007</v>
      </c>
      <c r="I17" s="20">
        <f t="shared" si="2"/>
        <v>0.7</v>
      </c>
      <c r="J17" s="20">
        <f t="shared" si="2"/>
        <v>0.7</v>
      </c>
      <c r="K17" s="20">
        <f t="shared" si="2"/>
        <v>0.70000000000000007</v>
      </c>
      <c r="L17" s="20">
        <f t="shared" si="2"/>
        <v>0.7</v>
      </c>
      <c r="M17" s="20">
        <f t="shared" si="2"/>
        <v>0.7</v>
      </c>
      <c r="N17" s="20">
        <f t="shared" si="2"/>
        <v>0.7</v>
      </c>
      <c r="O17" s="21">
        <f>O16/O14</f>
        <v>0.70000000000000007</v>
      </c>
    </row>
    <row r="18" spans="2:15" x14ac:dyDescent="0.25">
      <c r="B18" s="13" t="s">
        <v>39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2:15" x14ac:dyDescent="0.25">
      <c r="B19" s="11" t="s">
        <v>10</v>
      </c>
      <c r="C19" s="15">
        <f>C14*Assumptions!$C$33</f>
        <v>106392</v>
      </c>
      <c r="D19" s="15">
        <f>D14*Assumptions!$C$33</f>
        <v>110647.68000000001</v>
      </c>
      <c r="E19" s="15">
        <f>E14*Assumptions!$C$33</f>
        <v>115073.58720000001</v>
      </c>
      <c r="F19" s="15">
        <f>F14*Assumptions!$C$33</f>
        <v>119676.53068800001</v>
      </c>
      <c r="G19" s="15">
        <f>G14*Assumptions!$C$33</f>
        <v>124463.59191552002</v>
      </c>
      <c r="H19" s="15">
        <f>H14*Assumptions!$C$33</f>
        <v>129442.13559214084</v>
      </c>
      <c r="I19" s="15">
        <f>I14*Assumptions!$C$33</f>
        <v>134619.82101582646</v>
      </c>
      <c r="J19" s="15">
        <f>J14*Assumptions!$C$33</f>
        <v>140004.61385645953</v>
      </c>
      <c r="K19" s="15">
        <f>K14*Assumptions!$C$33</f>
        <v>145604.79841071792</v>
      </c>
      <c r="L19" s="15">
        <f>L14*Assumptions!$C$33</f>
        <v>152885.03833125383</v>
      </c>
      <c r="M19" s="15">
        <f>M14*Assumptions!$C$33</f>
        <v>160529.29024781653</v>
      </c>
      <c r="N19" s="15">
        <f>N14*Assumptions!$C$33</f>
        <v>168555.75476020735</v>
      </c>
      <c r="O19" s="15">
        <f t="shared" ref="O19:O22" si="3">SUM(C19:N19)</f>
        <v>1607894.8420179426</v>
      </c>
    </row>
    <row r="20" spans="2:15" x14ac:dyDescent="0.25">
      <c r="B20" s="11" t="s">
        <v>11</v>
      </c>
      <c r="C20" s="15">
        <f>Assumptions!$C$34</f>
        <v>90000</v>
      </c>
      <c r="D20" s="15">
        <f>Assumptions!$C$34</f>
        <v>90000</v>
      </c>
      <c r="E20" s="15">
        <f>Assumptions!$C$34</f>
        <v>90000</v>
      </c>
      <c r="F20" s="15">
        <f>Assumptions!$C$34</f>
        <v>90000</v>
      </c>
      <c r="G20" s="15">
        <f>Assumptions!$C$34</f>
        <v>90000</v>
      </c>
      <c r="H20" s="15">
        <f>Assumptions!$C$34</f>
        <v>90000</v>
      </c>
      <c r="I20" s="15">
        <f>Assumptions!$C$34</f>
        <v>90000</v>
      </c>
      <c r="J20" s="15">
        <f>Assumptions!$C$34</f>
        <v>90000</v>
      </c>
      <c r="K20" s="15">
        <f>Assumptions!$C$34</f>
        <v>90000</v>
      </c>
      <c r="L20" s="15">
        <f>Assumptions!$C$34</f>
        <v>90000</v>
      </c>
      <c r="M20" s="15">
        <f>Assumptions!$C$34</f>
        <v>90000</v>
      </c>
      <c r="N20" s="15">
        <f>Assumptions!$C$34</f>
        <v>90000</v>
      </c>
      <c r="O20" s="15">
        <f t="shared" si="3"/>
        <v>1080000</v>
      </c>
    </row>
    <row r="21" spans="2:15" x14ac:dyDescent="0.25">
      <c r="B21" s="11" t="s">
        <v>12</v>
      </c>
      <c r="C21" s="15">
        <f>Assumptions!$C$35</f>
        <v>40000</v>
      </c>
      <c r="D21" s="15">
        <f>Assumptions!$C$35</f>
        <v>40000</v>
      </c>
      <c r="E21" s="15">
        <f>Assumptions!$C$35</f>
        <v>40000</v>
      </c>
      <c r="F21" s="15">
        <f>Assumptions!$C$35</f>
        <v>40000</v>
      </c>
      <c r="G21" s="15">
        <f>Assumptions!$C$35</f>
        <v>40000</v>
      </c>
      <c r="H21" s="15">
        <f>Assumptions!$C$35</f>
        <v>40000</v>
      </c>
      <c r="I21" s="15">
        <f>Assumptions!$C$35</f>
        <v>40000</v>
      </c>
      <c r="J21" s="15">
        <f>Assumptions!$C$35</f>
        <v>40000</v>
      </c>
      <c r="K21" s="15">
        <f>Assumptions!$C$35</f>
        <v>40000</v>
      </c>
      <c r="L21" s="15">
        <f>Assumptions!$C$35</f>
        <v>40000</v>
      </c>
      <c r="M21" s="15">
        <f>Assumptions!$C$35</f>
        <v>40000</v>
      </c>
      <c r="N21" s="15">
        <f>Assumptions!$C$35</f>
        <v>40000</v>
      </c>
      <c r="O21" s="15">
        <f t="shared" si="3"/>
        <v>480000</v>
      </c>
    </row>
    <row r="22" spans="2:15" x14ac:dyDescent="0.25">
      <c r="B22" s="17" t="s">
        <v>40</v>
      </c>
      <c r="C22" s="15">
        <f>SUM(C19:C21)</f>
        <v>236392</v>
      </c>
      <c r="D22" s="15">
        <f t="shared" ref="D22:N22" si="4">SUM(D19:D21)</f>
        <v>240647.67999999999</v>
      </c>
      <c r="E22" s="15">
        <f t="shared" si="4"/>
        <v>245073.58720000001</v>
      </c>
      <c r="F22" s="15">
        <f t="shared" si="4"/>
        <v>249676.53068800003</v>
      </c>
      <c r="G22" s="15">
        <f t="shared" si="4"/>
        <v>254463.59191552002</v>
      </c>
      <c r="H22" s="15">
        <f t="shared" si="4"/>
        <v>259442.13559214084</v>
      </c>
      <c r="I22" s="15">
        <f t="shared" si="4"/>
        <v>264619.82101582643</v>
      </c>
      <c r="J22" s="15">
        <f t="shared" si="4"/>
        <v>270004.6138564595</v>
      </c>
      <c r="K22" s="15">
        <f t="shared" si="4"/>
        <v>275604.79841071792</v>
      </c>
      <c r="L22" s="15">
        <f t="shared" si="4"/>
        <v>282885.0383312538</v>
      </c>
      <c r="M22" s="15">
        <f t="shared" si="4"/>
        <v>290529.29024781653</v>
      </c>
      <c r="N22" s="15">
        <f t="shared" si="4"/>
        <v>298555.75476020738</v>
      </c>
      <c r="O22" s="15">
        <f t="shared" si="3"/>
        <v>3167894.8420179421</v>
      </c>
    </row>
    <row r="23" spans="2:15" ht="15.75" thickBot="1" x14ac:dyDescent="0.3">
      <c r="B23" s="14" t="s">
        <v>13</v>
      </c>
      <c r="C23" s="22">
        <f>C16-C22</f>
        <v>-10712</v>
      </c>
      <c r="D23" s="22">
        <f t="shared" ref="D23:N23" si="5">D16-D22</f>
        <v>-5940.4800000000105</v>
      </c>
      <c r="E23" s="22">
        <f t="shared" si="5"/>
        <v>-978.09919999999693</v>
      </c>
      <c r="F23" s="22">
        <f t="shared" si="5"/>
        <v>4182.7768319999741</v>
      </c>
      <c r="G23" s="22">
        <f t="shared" si="5"/>
        <v>9550.087905280001</v>
      </c>
      <c r="H23" s="22">
        <f t="shared" si="5"/>
        <v>15132.091421491234</v>
      </c>
      <c r="I23" s="22">
        <f t="shared" si="5"/>
        <v>20937.375078350888</v>
      </c>
      <c r="J23" s="22">
        <f t="shared" si="5"/>
        <v>26974.870081484958</v>
      </c>
      <c r="K23" s="22">
        <f t="shared" si="5"/>
        <v>33253.86488474434</v>
      </c>
      <c r="L23" s="22">
        <f t="shared" si="5"/>
        <v>41416.55812898156</v>
      </c>
      <c r="M23" s="22">
        <f t="shared" si="5"/>
        <v>49987.386035430594</v>
      </c>
      <c r="N23" s="22">
        <f t="shared" si="5"/>
        <v>58986.755337202107</v>
      </c>
      <c r="O23" s="22">
        <f>O16-O22</f>
        <v>242791.18650496611</v>
      </c>
    </row>
    <row r="24" spans="2:15" x14ac:dyDescent="0.25">
      <c r="B24" s="18" t="s">
        <v>41</v>
      </c>
      <c r="C24" s="19">
        <f>C23/C14</f>
        <v>-3.3225806451612903E-2</v>
      </c>
      <c r="D24" s="19">
        <f t="shared" ref="D24:N24" si="6">D23/D14</f>
        <v>-1.7717121588089361E-2</v>
      </c>
      <c r="E24" s="19">
        <f t="shared" si="6"/>
        <v>-2.8049246039320392E-3</v>
      </c>
      <c r="F24" s="19">
        <f t="shared" si="6"/>
        <v>1.1533726342372959E-2</v>
      </c>
      <c r="G24" s="19">
        <f t="shared" si="6"/>
        <v>2.532089071382022E-2</v>
      </c>
      <c r="H24" s="19">
        <f t="shared" si="6"/>
        <v>3.8577779532519521E-2</v>
      </c>
      <c r="I24" s="19">
        <f t="shared" si="6"/>
        <v>5.1324788012038013E-2</v>
      </c>
      <c r="J24" s="19">
        <f t="shared" si="6"/>
        <v>6.3581526934652008E-2</v>
      </c>
      <c r="K24" s="19">
        <f t="shared" si="6"/>
        <v>7.5366852821780753E-2</v>
      </c>
      <c r="L24" s="19">
        <f t="shared" si="6"/>
        <v>8.9397002687410243E-2</v>
      </c>
      <c r="M24" s="19">
        <f t="shared" si="6"/>
        <v>0.10275905017848584</v>
      </c>
      <c r="N24" s="19">
        <f t="shared" si="6"/>
        <v>0.11548480969379601</v>
      </c>
      <c r="O24" s="19">
        <f>O23/O14</f>
        <v>4.9829808177060349E-2</v>
      </c>
    </row>
    <row r="27" spans="2:15" ht="18.75" x14ac:dyDescent="0.3">
      <c r="B27" s="41" t="s">
        <v>42</v>
      </c>
      <c r="C27" s="41"/>
      <c r="D27" s="41"/>
      <c r="E27" s="41"/>
      <c r="F27" s="42"/>
    </row>
    <row r="28" spans="2:15" ht="30" x14ac:dyDescent="0.25">
      <c r="B28" s="45" t="s">
        <v>43</v>
      </c>
      <c r="C28" s="46" t="s">
        <v>44</v>
      </c>
      <c r="D28" s="47" t="s">
        <v>45</v>
      </c>
      <c r="E28" s="48" t="s">
        <v>46</v>
      </c>
      <c r="F28" s="49" t="s">
        <v>47</v>
      </c>
    </row>
    <row r="29" spans="2:15" ht="4.5" customHeight="1" x14ac:dyDescent="0.25">
      <c r="F29" s="1"/>
    </row>
    <row r="30" spans="2:15" x14ac:dyDescent="0.25">
      <c r="B30" s="50" t="s">
        <v>19</v>
      </c>
      <c r="C30" s="51">
        <f>Assumptions!E23</f>
        <v>4200000</v>
      </c>
      <c r="D30" s="51">
        <f>O14</f>
        <v>4872408.6121755829</v>
      </c>
      <c r="E30" s="51">
        <f>D30-C30</f>
        <v>672408.61217558291</v>
      </c>
      <c r="F30" s="52">
        <f>E30/C30</f>
        <v>0.16009728861323402</v>
      </c>
    </row>
    <row r="31" spans="2:15" x14ac:dyDescent="0.25">
      <c r="B31" s="24" t="s">
        <v>13</v>
      </c>
      <c r="C31" s="25">
        <f>Assumptions!E25</f>
        <v>150000</v>
      </c>
      <c r="D31" s="25">
        <f>O23</f>
        <v>242791.18650496611</v>
      </c>
      <c r="E31" s="25">
        <f>D31-C31</f>
        <v>92791.186504966114</v>
      </c>
      <c r="F31" s="27">
        <f t="shared" ref="F31" si="7">E31/C31</f>
        <v>0.61860791003310744</v>
      </c>
    </row>
    <row r="32" spans="2:15" x14ac:dyDescent="0.25">
      <c r="B32" s="24" t="s">
        <v>41</v>
      </c>
      <c r="C32" s="26">
        <f>C31/C30</f>
        <v>3.5714285714285712E-2</v>
      </c>
      <c r="D32" s="26">
        <f>D31/D30</f>
        <v>4.9829808177060349E-2</v>
      </c>
      <c r="E32" s="26">
        <f>D32-C32</f>
        <v>1.4115522462774636E-2</v>
      </c>
      <c r="F32" s="28">
        <f>E32</f>
        <v>1.4115522462774636E-2</v>
      </c>
    </row>
    <row r="33" spans="1:16" x14ac:dyDescent="0.25">
      <c r="D33" s="2"/>
      <c r="E33" s="2"/>
      <c r="F33" s="1"/>
    </row>
    <row r="34" spans="1:16" ht="19.5" thickBot="1" x14ac:dyDescent="0.35">
      <c r="A34" s="3" t="s">
        <v>4</v>
      </c>
      <c r="B34" s="43" t="s">
        <v>48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</row>
    <row r="35" spans="1:16" ht="7.5" customHeight="1" x14ac:dyDescent="0.25"/>
    <row r="36" spans="1:16" ht="15.75" x14ac:dyDescent="0.25">
      <c r="B36" s="35" t="s">
        <v>49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16" ht="49.5" customHeight="1" x14ac:dyDescent="0.25">
      <c r="B37" s="36" t="s">
        <v>50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</row>
    <row r="38" spans="1:16" ht="9.75" customHeight="1" x14ac:dyDescent="0.25"/>
    <row r="39" spans="1:16" ht="15.75" x14ac:dyDescent="0.25">
      <c r="B39" s="35" t="s">
        <v>51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1:16" ht="32.25" customHeight="1" x14ac:dyDescent="0.25">
      <c r="B40" s="38" t="s">
        <v>54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16" ht="10.5" customHeight="1" x14ac:dyDescent="0.25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6" ht="18" customHeight="1" x14ac:dyDescent="0.25">
      <c r="B42" s="35" t="s">
        <v>55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"/>
    </row>
    <row r="43" spans="1:16" ht="30" customHeight="1" x14ac:dyDescent="0.25">
      <c r="B43" s="37" t="s">
        <v>56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1"/>
    </row>
    <row r="44" spans="1:16" ht="10.5" customHeight="1" x14ac:dyDescent="0.25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spans="1:16" x14ac:dyDescent="0.25">
      <c r="B45" s="23" t="s">
        <v>57</v>
      </c>
    </row>
    <row r="46" spans="1:16" x14ac:dyDescent="0.25">
      <c r="B46" s="33" t="s">
        <v>58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pans="1:16" x14ac:dyDescent="0.25">
      <c r="B47" s="33" t="s">
        <v>59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</row>
    <row r="48" spans="1:16" x14ac:dyDescent="0.25">
      <c r="B48" s="33" t="s">
        <v>60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 spans="1:16" x14ac:dyDescent="0.25">
      <c r="B49" s="33" t="s">
        <v>61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</row>
    <row r="50" spans="1:16" x14ac:dyDescent="0.25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 spans="1:16" ht="19.5" thickBot="1" x14ac:dyDescent="0.35">
      <c r="A51" t="s">
        <v>4</v>
      </c>
      <c r="B51" s="32" t="s">
        <v>62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3" spans="1:16" x14ac:dyDescent="0.25">
      <c r="B53" s="33" t="s">
        <v>63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spans="1:16" x14ac:dyDescent="0.25">
      <c r="B54" t="s">
        <v>65</v>
      </c>
    </row>
    <row r="55" spans="1:16" x14ac:dyDescent="0.25">
      <c r="B55" s="33" t="s">
        <v>64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</row>
    <row r="56" spans="1:16" x14ac:dyDescent="0.25">
      <c r="B56" t="s">
        <v>66</v>
      </c>
    </row>
    <row r="57" spans="1:16" x14ac:dyDescent="0.25">
      <c r="A57" s="3"/>
      <c r="B57" s="33" t="s">
        <v>67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 spans="1:16" x14ac:dyDescent="0.25">
      <c r="A58" s="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6" x14ac:dyDescent="0.25"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</row>
  </sheetData>
  <mergeCells count="21">
    <mergeCell ref="B4:F4"/>
    <mergeCell ref="B11:O11"/>
    <mergeCell ref="B27:F27"/>
    <mergeCell ref="B34:O34"/>
    <mergeCell ref="B2:O2"/>
    <mergeCell ref="B36:O36"/>
    <mergeCell ref="B37:O37"/>
    <mergeCell ref="B43:O43"/>
    <mergeCell ref="B39:O39"/>
    <mergeCell ref="B40:O40"/>
    <mergeCell ref="B42:O42"/>
    <mergeCell ref="B46:P46"/>
    <mergeCell ref="B49:P49"/>
    <mergeCell ref="B44:O44"/>
    <mergeCell ref="B47:P47"/>
    <mergeCell ref="B48:P48"/>
    <mergeCell ref="B53:P53"/>
    <mergeCell ref="B55:P55"/>
    <mergeCell ref="B57:P57"/>
    <mergeCell ref="B58:P58"/>
    <mergeCell ref="B50:P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F43"/>
  <sheetViews>
    <sheetView showGridLines="0" tabSelected="1" topLeftCell="A17" workbookViewId="0">
      <selection activeCell="B39" sqref="B39"/>
    </sheetView>
  </sheetViews>
  <sheetFormatPr defaultRowHeight="15" x14ac:dyDescent="0.25"/>
  <cols>
    <col min="1" max="1" width="1.85546875" style="3" customWidth="1"/>
    <col min="2" max="2" width="34.42578125" style="3" bestFit="1" customWidth="1"/>
    <col min="3" max="6" width="12.140625" style="3" bestFit="1" customWidth="1"/>
    <col min="7" max="16384" width="9.140625" style="3"/>
  </cols>
  <sheetData>
    <row r="2" spans="1:6" ht="21" x14ac:dyDescent="0.35">
      <c r="B2" s="39" t="s">
        <v>0</v>
      </c>
      <c r="C2" s="39"/>
      <c r="D2" s="39"/>
      <c r="E2" s="39"/>
      <c r="F2" s="39"/>
    </row>
    <row r="4" spans="1:6" ht="17.25" x14ac:dyDescent="0.3">
      <c r="A4" s="3" t="s">
        <v>4</v>
      </c>
      <c r="B4" s="80" t="s">
        <v>1</v>
      </c>
      <c r="C4" s="80"/>
      <c r="D4" s="80"/>
      <c r="E4" s="80"/>
      <c r="F4" s="81"/>
    </row>
    <row r="5" spans="1:6" ht="15.75" x14ac:dyDescent="0.25">
      <c r="B5" s="55" t="s">
        <v>2</v>
      </c>
      <c r="C5" s="56">
        <v>46023</v>
      </c>
      <c r="D5" s="56" t="s">
        <v>53</v>
      </c>
      <c r="E5" s="56">
        <v>46082</v>
      </c>
      <c r="F5" s="56" t="s">
        <v>3</v>
      </c>
    </row>
    <row r="7" spans="1:6" ht="15.75" thickBot="1" x14ac:dyDescent="0.3">
      <c r="B7" s="57" t="s">
        <v>5</v>
      </c>
      <c r="C7" s="58">
        <v>280000</v>
      </c>
      <c r="D7" s="58">
        <v>295000</v>
      </c>
      <c r="E7" s="58">
        <v>310000</v>
      </c>
      <c r="F7" s="59">
        <f>SUM(C7:E7)</f>
        <v>885000</v>
      </c>
    </row>
    <row r="8" spans="1:6" ht="15.75" thickTop="1" x14ac:dyDescent="0.25">
      <c r="B8" s="57" t="s">
        <v>6</v>
      </c>
      <c r="C8" s="60">
        <v>84000</v>
      </c>
      <c r="D8" s="61">
        <v>88500</v>
      </c>
      <c r="E8" s="61">
        <v>93000</v>
      </c>
      <c r="F8" s="59">
        <f t="shared" ref="F8:F15" si="0">SUM(C8:E8)</f>
        <v>265500</v>
      </c>
    </row>
    <row r="9" spans="1:6" x14ac:dyDescent="0.25">
      <c r="B9" s="62" t="s">
        <v>7</v>
      </c>
      <c r="C9" s="63">
        <v>196000</v>
      </c>
      <c r="D9" s="63">
        <v>206500</v>
      </c>
      <c r="E9" s="63">
        <v>217000</v>
      </c>
      <c r="F9" s="64">
        <f t="shared" si="0"/>
        <v>619500</v>
      </c>
    </row>
    <row r="10" spans="1:6" x14ac:dyDescent="0.25">
      <c r="B10" s="65" t="s">
        <v>8</v>
      </c>
      <c r="C10" s="66">
        <f>C9/C7</f>
        <v>0.7</v>
      </c>
      <c r="D10" s="66">
        <f>D9/D7</f>
        <v>0.7</v>
      </c>
      <c r="E10" s="66">
        <f>E9/E7</f>
        <v>0.7</v>
      </c>
      <c r="F10" s="67">
        <f>F9/F7</f>
        <v>0.7</v>
      </c>
    </row>
    <row r="11" spans="1:6" x14ac:dyDescent="0.25">
      <c r="B11" s="57" t="s">
        <v>9</v>
      </c>
      <c r="C11" s="60">
        <v>220000</v>
      </c>
      <c r="D11" s="60">
        <v>225000</v>
      </c>
      <c r="E11" s="60">
        <v>230000</v>
      </c>
      <c r="F11" s="59">
        <f t="shared" si="0"/>
        <v>675000</v>
      </c>
    </row>
    <row r="12" spans="1:6" x14ac:dyDescent="0.25">
      <c r="B12" s="68" t="s">
        <v>10</v>
      </c>
      <c r="C12" s="60">
        <v>98000</v>
      </c>
      <c r="D12" s="60">
        <v>100000</v>
      </c>
      <c r="E12" s="60">
        <v>105000</v>
      </c>
      <c r="F12" s="59">
        <f t="shared" si="0"/>
        <v>303000</v>
      </c>
    </row>
    <row r="13" spans="1:6" x14ac:dyDescent="0.25">
      <c r="B13" s="68" t="s">
        <v>11</v>
      </c>
      <c r="C13" s="60">
        <v>85000</v>
      </c>
      <c r="D13" s="60">
        <v>87000</v>
      </c>
      <c r="E13" s="60">
        <v>88000</v>
      </c>
      <c r="F13" s="59">
        <f t="shared" si="0"/>
        <v>260000</v>
      </c>
    </row>
    <row r="14" spans="1:6" x14ac:dyDescent="0.25">
      <c r="B14" s="69" t="s">
        <v>12</v>
      </c>
      <c r="C14" s="70">
        <v>37000</v>
      </c>
      <c r="D14" s="70">
        <v>38000</v>
      </c>
      <c r="E14" s="70">
        <v>37000</v>
      </c>
      <c r="F14" s="71">
        <f t="shared" si="0"/>
        <v>112000</v>
      </c>
    </row>
    <row r="15" spans="1:6" x14ac:dyDescent="0.25">
      <c r="B15" s="62" t="s">
        <v>13</v>
      </c>
      <c r="C15" s="63">
        <v>-24000</v>
      </c>
      <c r="D15" s="63">
        <v>-18500</v>
      </c>
      <c r="E15" s="63">
        <v>-13000</v>
      </c>
      <c r="F15" s="64">
        <f t="shared" si="0"/>
        <v>-55500</v>
      </c>
    </row>
    <row r="18" spans="2:6" ht="18.75" x14ac:dyDescent="0.3">
      <c r="B18" s="40" t="s">
        <v>14</v>
      </c>
      <c r="C18" s="40"/>
      <c r="D18" s="40"/>
      <c r="E18" s="40"/>
      <c r="F18" s="40"/>
    </row>
    <row r="19" spans="2:6" ht="3.75" customHeight="1" x14ac:dyDescent="0.25"/>
    <row r="20" spans="2:6" ht="30" customHeight="1" x14ac:dyDescent="0.25">
      <c r="B20" s="105" t="s">
        <v>15</v>
      </c>
      <c r="C20" s="105"/>
      <c r="D20" s="105"/>
      <c r="E20" s="105"/>
      <c r="F20" s="105"/>
    </row>
    <row r="22" spans="2:6" x14ac:dyDescent="0.25">
      <c r="B22" s="72" t="s">
        <v>16</v>
      </c>
      <c r="C22" s="91" t="s">
        <v>17</v>
      </c>
      <c r="D22" s="91"/>
      <c r="E22" s="91" t="s">
        <v>18</v>
      </c>
      <c r="F22" s="91"/>
    </row>
    <row r="23" spans="2:6" x14ac:dyDescent="0.25">
      <c r="B23" s="73" t="s">
        <v>19</v>
      </c>
      <c r="C23" s="98">
        <v>945000</v>
      </c>
      <c r="D23" s="98"/>
      <c r="E23" s="99">
        <v>4200000</v>
      </c>
      <c r="F23" s="99"/>
    </row>
    <row r="24" spans="2:6" x14ac:dyDescent="0.25">
      <c r="B24" s="24" t="s">
        <v>20</v>
      </c>
      <c r="C24" s="100">
        <v>0.68</v>
      </c>
      <c r="D24" s="101"/>
      <c r="E24" s="101">
        <v>0.68</v>
      </c>
      <c r="F24" s="101"/>
    </row>
    <row r="25" spans="2:6" x14ac:dyDescent="0.25">
      <c r="B25" s="24" t="s">
        <v>13</v>
      </c>
      <c r="C25" s="102">
        <v>-15000</v>
      </c>
      <c r="D25" s="103"/>
      <c r="E25" s="104">
        <v>150000</v>
      </c>
      <c r="F25" s="104"/>
    </row>
    <row r="27" spans="2:6" x14ac:dyDescent="0.25">
      <c r="B27" s="54" t="s">
        <v>21</v>
      </c>
      <c r="D27" s="83"/>
    </row>
    <row r="28" spans="2:6" x14ac:dyDescent="0.25">
      <c r="B28" s="72" t="s">
        <v>22</v>
      </c>
      <c r="C28" s="90" t="s">
        <v>23</v>
      </c>
      <c r="D28" s="82" t="s">
        <v>24</v>
      </c>
      <c r="E28" s="82"/>
      <c r="F28" s="82"/>
    </row>
    <row r="29" spans="2:6" ht="3.75" customHeight="1" x14ac:dyDescent="0.25">
      <c r="B29" s="73"/>
      <c r="C29" s="92"/>
      <c r="D29" s="97"/>
      <c r="E29" s="97"/>
      <c r="F29" s="97"/>
    </row>
    <row r="30" spans="2:6" x14ac:dyDescent="0.25">
      <c r="B30" s="75" t="s">
        <v>25</v>
      </c>
      <c r="C30" s="93">
        <v>0.04</v>
      </c>
      <c r="D30" s="84" t="s">
        <v>26</v>
      </c>
      <c r="E30" s="85"/>
      <c r="F30" s="85"/>
    </row>
    <row r="31" spans="2:6" x14ac:dyDescent="0.25">
      <c r="B31" s="74" t="s">
        <v>27</v>
      </c>
      <c r="C31" s="94">
        <v>0.05</v>
      </c>
      <c r="D31" s="86" t="s">
        <v>28</v>
      </c>
      <c r="E31" s="87"/>
      <c r="F31" s="87"/>
    </row>
    <row r="32" spans="2:6" x14ac:dyDescent="0.25">
      <c r="B32" s="74" t="s">
        <v>20</v>
      </c>
      <c r="C32" s="96">
        <v>0.7</v>
      </c>
      <c r="D32" s="88" t="s">
        <v>29</v>
      </c>
      <c r="E32" s="89"/>
      <c r="F32" s="89"/>
    </row>
    <row r="33" spans="2:6" x14ac:dyDescent="0.25">
      <c r="B33" s="74" t="s">
        <v>30</v>
      </c>
      <c r="C33" s="94">
        <v>0.33</v>
      </c>
      <c r="D33" s="88" t="s">
        <v>31</v>
      </c>
      <c r="E33" s="89"/>
      <c r="F33" s="89"/>
    </row>
    <row r="34" spans="2:6" x14ac:dyDescent="0.25">
      <c r="B34" s="74" t="s">
        <v>32</v>
      </c>
      <c r="C34" s="95">
        <v>90000</v>
      </c>
      <c r="D34" s="86" t="s">
        <v>33</v>
      </c>
      <c r="E34" s="87"/>
      <c r="F34" s="87"/>
    </row>
    <row r="35" spans="2:6" x14ac:dyDescent="0.25">
      <c r="B35" s="74" t="s">
        <v>34</v>
      </c>
      <c r="C35" s="95">
        <v>40000</v>
      </c>
      <c r="D35" s="88" t="s">
        <v>35</v>
      </c>
      <c r="E35" s="89"/>
      <c r="F35" s="89"/>
    </row>
    <row r="37" spans="2:6" x14ac:dyDescent="0.25">
      <c r="B37" s="107"/>
      <c r="C37" s="107"/>
      <c r="D37" s="107"/>
      <c r="E37" s="79"/>
      <c r="F37" s="79"/>
    </row>
    <row r="38" spans="2:6" ht="3.75" customHeight="1" x14ac:dyDescent="0.25">
      <c r="B38" s="76"/>
      <c r="C38" s="76"/>
      <c r="D38" s="76"/>
    </row>
    <row r="39" spans="2:6" x14ac:dyDescent="0.25">
      <c r="B39" s="53"/>
      <c r="C39" s="77"/>
      <c r="D39" s="77"/>
    </row>
    <row r="40" spans="2:6" x14ac:dyDescent="0.25">
      <c r="B40" s="78"/>
      <c r="C40" s="77"/>
      <c r="D40" s="77"/>
    </row>
    <row r="41" spans="2:6" x14ac:dyDescent="0.25">
      <c r="B41" s="78"/>
      <c r="C41" s="77"/>
      <c r="D41" s="77"/>
    </row>
    <row r="42" spans="2:6" x14ac:dyDescent="0.25">
      <c r="B42" s="78"/>
      <c r="C42" s="77"/>
      <c r="D42" s="77"/>
    </row>
    <row r="43" spans="2:6" x14ac:dyDescent="0.25">
      <c r="B43" s="77"/>
      <c r="C43" s="77"/>
      <c r="D43" s="77"/>
    </row>
  </sheetData>
  <mergeCells count="20">
    <mergeCell ref="C23:D23"/>
    <mergeCell ref="C24:D24"/>
    <mergeCell ref="C25:D25"/>
    <mergeCell ref="B20:F20"/>
    <mergeCell ref="B2:F2"/>
    <mergeCell ref="B4:F4"/>
    <mergeCell ref="B18:F18"/>
    <mergeCell ref="B37:D37"/>
    <mergeCell ref="D30:F30"/>
    <mergeCell ref="D31:F31"/>
    <mergeCell ref="D32:F32"/>
    <mergeCell ref="D33:F33"/>
    <mergeCell ref="D34:F34"/>
    <mergeCell ref="D35:F35"/>
    <mergeCell ref="D28:F28"/>
    <mergeCell ref="E22:F22"/>
    <mergeCell ref="E23:F23"/>
    <mergeCell ref="E24:F24"/>
    <mergeCell ref="E25:F25"/>
    <mergeCell ref="C22:D22"/>
  </mergeCells>
  <pageMargins left="0.7" right="0.7" top="0.75" bottom="0.75" header="0.3" footer="0.3"/>
  <ignoredErrors>
    <ignoredError sqref="F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Rolling Forecast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dcterms:created xsi:type="dcterms:W3CDTF">2026-03-27T06:22:30Z</dcterms:created>
  <dcterms:modified xsi:type="dcterms:W3CDTF">2026-03-29T13:34:03Z</dcterms:modified>
</cp:coreProperties>
</file>