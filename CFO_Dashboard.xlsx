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Projects\FP&amp;A\"/>
    </mc:Choice>
  </mc:AlternateContent>
  <bookViews>
    <workbookView xWindow="0" yWindow="0" windowWidth="20490" windowHeight="7620"/>
  </bookViews>
  <sheets>
    <sheet name="Dashborad" sheetId="1" r:id="rId1"/>
  </sheets>
  <definedNames>
    <definedName name="_xlchart.v1.0" hidden="1">Dashborad!$B$39:$B$43</definedName>
    <definedName name="_xlchart.v1.1" hidden="1">Dashborad!$C$38</definedName>
    <definedName name="_xlchart.v1.2" hidden="1">Dashborad!$C$39:$C$43</definedName>
  </definedNames>
  <calcPr calcId="162913" iterate="1" iterateCount="1000" iterateDelta="0.0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2" i="1" l="1"/>
  <c r="C41" i="1"/>
  <c r="D34" i="1"/>
  <c r="D36" i="1" s="1"/>
  <c r="C39" i="1" s="1"/>
  <c r="C34" i="1"/>
  <c r="C36" i="1" s="1"/>
  <c r="E32" i="1"/>
  <c r="C40" i="1" s="1"/>
  <c r="C43" i="1" l="1"/>
  <c r="E34" i="1"/>
  <c r="E36" i="1" s="1"/>
  <c r="E24" i="1"/>
  <c r="D24" i="1"/>
  <c r="C24" i="1"/>
  <c r="F23" i="1"/>
  <c r="F22" i="1"/>
  <c r="F21" i="1"/>
  <c r="F24" i="1" l="1"/>
</calcChain>
</file>

<file path=xl/sharedStrings.xml><?xml version="1.0" encoding="utf-8"?>
<sst xmlns="http://schemas.openxmlformats.org/spreadsheetml/2006/main" count="83" uniqueCount="72">
  <si>
    <t>Executive Dashboard - TechFlow Inc. Q4 2025</t>
  </si>
  <si>
    <t>One-Page Management Information System (MIS) Dashboard</t>
  </si>
  <si>
    <t>EBITDA</t>
  </si>
  <si>
    <t>Status: Green</t>
  </si>
  <si>
    <t>vs Budget: 0% →</t>
  </si>
  <si>
    <t>vs Budget: +$30K ↑</t>
  </si>
  <si>
    <t>Status: Yellow</t>
  </si>
  <si>
    <t>Burn Rate: $50K/mo</t>
  </si>
  <si>
    <t>OPEX RATIO</t>
  </si>
  <si>
    <t>CUSTOMER COUNT</t>
  </si>
  <si>
    <t>ARR</t>
  </si>
  <si>
    <t>CASH RUNWAY</t>
  </si>
  <si>
    <t>vs Budget: 78% ↓</t>
  </si>
  <si>
    <t>Growth: +15%</t>
  </si>
  <si>
    <t>Growth: +22% YoY</t>
  </si>
  <si>
    <t>Key Performance Indicators (KPLs)</t>
  </si>
  <si>
    <t>Revenue</t>
  </si>
  <si>
    <t>Gross Margin</t>
  </si>
  <si>
    <t>Cash Balance</t>
  </si>
  <si>
    <t xml:space="preserve">Vs Budget +25% </t>
  </si>
  <si>
    <t xml:space="preserve"> </t>
  </si>
  <si>
    <t>9Months</t>
  </si>
  <si>
    <t>Vs PriorQ: -1mo</t>
  </si>
  <si>
    <t>REVENUE PERFORMANCE ANALYSIS</t>
  </si>
  <si>
    <t>Actual</t>
  </si>
  <si>
    <t>Budget</t>
  </si>
  <si>
    <t>Forecast</t>
  </si>
  <si>
    <t>Variance</t>
  </si>
  <si>
    <t>Q4 Total</t>
  </si>
  <si>
    <t xml:space="preserve">Month </t>
  </si>
  <si>
    <t>Key Insight: Q4 revenue exceeded budget by $250K (25%), driven by strong holiday sales and new customer acquisition. Growth accelerated throughout the quarter.</t>
  </si>
  <si>
    <t>PROFITABILITY &amp; COST ANALYSIS</t>
  </si>
  <si>
    <t>Value</t>
  </si>
  <si>
    <t>Total (Start)</t>
  </si>
  <si>
    <t>COGS</t>
  </si>
  <si>
    <t>Revenue Impact</t>
  </si>
  <si>
    <t>Gross Profit</t>
  </si>
  <si>
    <t>COGS Impact</t>
  </si>
  <si>
    <t>OpEx</t>
  </si>
  <si>
    <t>OpEx Impact</t>
  </si>
  <si>
    <t>Line Itme</t>
  </si>
  <si>
    <t xml:space="preserve">Category </t>
  </si>
  <si>
    <t>Total(End)</t>
  </si>
  <si>
    <t>Key Insight: EBITDA Improved by $30K vs Budget desite OpEx overrun. Gross margin held at 60%, incdicating good cost discipline at COGS level.</t>
  </si>
  <si>
    <t>EXECUTIVE COMMENTARY &amp; ACTION ITEMS</t>
  </si>
  <si>
    <t>CONTEXT</t>
  </si>
  <si>
    <t>Q4 2025 financial performance compared to FY2025 annual budget and latest forecast (updated November 2025). Analysis focuses on revenue growth, profitability path, and cash runway.</t>
  </si>
  <si>
    <t>Dashboard Date: December 31, 2025 |  Reporting Period: Q4 2025</t>
  </si>
  <si>
    <t>Oct 2025</t>
  </si>
  <si>
    <t>Nov 2025</t>
  </si>
  <si>
    <t>Dec 2025</t>
  </si>
  <si>
    <t>KEY INSIGHTS</t>
  </si>
  <si>
    <t>1. Revenue Beat (Favorable): $1.15M actual vs $1M budget (+25%). Strong performance driven by:</t>
  </si>
  <si>
    <t xml:space="preserve"> Holiday promtional campaign exceeded target (+18% conversion vs prior year)</t>
  </si>
  <si>
    <t xml:space="preserve"> New enterprise customer wins (3 customers, ave $40KARR each)</t>
  </si>
  <si>
    <t xml:space="preserve"> Upsell success in existiing base (12% of customers upgraded tiers)</t>
  </si>
  <si>
    <t>2. OpEx Concern (Unfavorable): $900K actual vs $780K budget (+15%). Driven by:</t>
  </si>
  <si>
    <t xml:space="preserve">   • S&amp;M overspend: $425K vs $350K budget - tied to revenue success but needs review</t>
  </si>
  <si>
    <t xml:space="preserve">   • R&amp;D overrun: $312K vs $280K budget - accelerated product development timeline</t>
  </si>
  <si>
    <t xml:space="preserve">   • G&amp;A increase: $162K vs $150K budget - one-time legal fees ($10K)</t>
  </si>
  <si>
    <t>3. Path to Profitability: Currently -$150K EBITDA. Breakeven requires either:</t>
  </si>
  <si>
    <t xml:space="preserve">   • 20% revenue increase ($1.5M) at current margins and OpEx, OR</t>
  </si>
  <si>
    <t xml:space="preserve">   • 17% OpEx reduction ($153K cut) at current revenue levels</t>
  </si>
  <si>
    <t>ACTION ITEMS</t>
  </si>
  <si>
    <t>Priority 1 (This Week):</t>
  </si>
  <si>
    <t xml:space="preserve">   ☐ Revenue Deep-Dive: Validate sustainability of Q4 beat - was it pull-forward from Q1 2026? (Owner: Sales VP)</t>
  </si>
  <si>
    <t xml:space="preserve">   ☐ OpEx Review: Analyze S&amp;M ROI and identify $50K quick wins in discretionary spend (Owner: CFO)</t>
  </si>
  <si>
    <t>Priority 2 (Next 2 Weeks):</t>
  </si>
  <si>
    <t xml:space="preserve">   ☐ 2026 Forecast Update: Re-baseline FY2026 forecast incorporating Q4 learnings (Owner: FP&amp;A)</t>
  </si>
  <si>
    <t xml:space="preserve">   ☐ Cash Projection: Update 12-month cash forecast with new burn rate assumptions (Owner: FP&amp;A)</t>
  </si>
  <si>
    <t>Priority 3 (This Month):</t>
  </si>
  <si>
    <t xml:space="preserve">   ☐ Profitability Roadmap: Build detailed path-to-breakeven model with monthly milestones (Owner: CFO + FP&amp;A)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</si>
</sst>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mmm/yyyy"/>
    <numFmt numFmtId="166" formatCode="&quot;₹&quot;\ #,##0.00"/>
  </numFmts>
  <fonts count="18">
    <font>
      <sz val="11"/>
      <color theme="1"/>
      <name val="Calibri"/>
      <family val="2"/>
    </font>
    <font>
      <b/>
      <sz val="18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i/>
      <sz val="1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0F0F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27">
    <border>
      <left/>
      <right/>
      <top/>
      <bottom/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 style="thin">
        <color theme="0" tint="-0.34998626667073579"/>
      </bottom>
      <diagonal/>
    </border>
    <border>
      <left/>
      <right style="thick">
        <color theme="0"/>
      </right>
      <top/>
      <bottom style="hair">
        <color rgb="FF002060"/>
      </bottom>
      <diagonal/>
    </border>
    <border>
      <left/>
      <right style="thick">
        <color theme="0"/>
      </right>
      <top style="thin">
        <color rgb="FF002060"/>
      </top>
      <bottom style="medium">
        <color rgb="FF00206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n">
        <color rgb="FF002060"/>
      </top>
      <bottom style="medium">
        <color rgb="FF002060"/>
      </bottom>
      <diagonal/>
    </border>
    <border>
      <left/>
      <right style="thick">
        <color theme="0"/>
      </right>
      <top style="hair">
        <color rgb="FF002060"/>
      </top>
      <bottom style="hair">
        <color rgb="FF002060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ck">
        <color theme="0"/>
      </right>
      <top style="thin">
        <color theme="1"/>
      </top>
      <bottom style="thin">
        <color indexed="64"/>
      </bottom>
      <diagonal/>
    </border>
    <border>
      <left style="thick">
        <color theme="0"/>
      </left>
      <right/>
      <top/>
      <bottom style="thin">
        <color theme="1"/>
      </bottom>
      <diagonal/>
    </border>
    <border>
      <left/>
      <right style="thick">
        <color theme="0"/>
      </right>
      <top/>
      <bottom style="thin">
        <color theme="1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 style="thick">
        <color theme="0"/>
      </left>
      <right style="thick">
        <color theme="0"/>
      </right>
      <top/>
      <bottom style="hair">
        <color rgb="FF002060"/>
      </bottom>
      <diagonal/>
    </border>
    <border>
      <left/>
      <right style="thick">
        <color theme="0"/>
      </right>
      <top/>
      <bottom style="thin">
        <color rgb="FF002060"/>
      </bottom>
      <diagonal/>
    </border>
    <border>
      <left style="thick">
        <color theme="0"/>
      </left>
      <right style="thick">
        <color theme="0"/>
      </right>
      <top/>
      <bottom style="thin">
        <color rgb="FF002060"/>
      </bottom>
      <diagonal/>
    </border>
    <border>
      <left/>
      <right/>
      <top style="medium">
        <color rgb="FF002060"/>
      </top>
      <bottom/>
      <diagonal/>
    </border>
    <border>
      <left/>
      <right style="thick">
        <color theme="0"/>
      </right>
      <top style="thin">
        <color rgb="FF002060"/>
      </top>
      <bottom style="thin">
        <color rgb="FF002060"/>
      </bottom>
      <diagonal/>
    </border>
    <border>
      <left style="thick">
        <color theme="0"/>
      </left>
      <right style="thick">
        <color theme="0"/>
      </right>
      <top style="thin">
        <color rgb="FF002060"/>
      </top>
      <bottom style="thin">
        <color rgb="FF002060"/>
      </bottom>
      <diagonal/>
    </border>
    <border>
      <left/>
      <right style="thick">
        <color theme="0"/>
      </right>
      <top style="hair">
        <color rgb="FF002060"/>
      </top>
      <bottom/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/>
    <xf numFmtId="164" fontId="5" fillId="0" borderId="0" xfId="0" applyNumberFormat="1" applyFont="1" applyAlignment="1"/>
    <xf numFmtId="0" fontId="2" fillId="0" borderId="0" xfId="0" applyFont="1" applyFill="1" applyBorder="1"/>
    <xf numFmtId="164" fontId="5" fillId="0" borderId="0" xfId="0" applyNumberFormat="1" applyFont="1" applyAlignment="1">
      <alignment horizontal="center"/>
    </xf>
    <xf numFmtId="0" fontId="2" fillId="0" borderId="1" xfId="0" applyFont="1" applyBorder="1"/>
    <xf numFmtId="0" fontId="2" fillId="0" borderId="0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2" fontId="2" fillId="0" borderId="0" xfId="0" applyNumberFormat="1" applyFont="1"/>
    <xf numFmtId="0" fontId="2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 vertical="top"/>
    </xf>
    <xf numFmtId="164" fontId="2" fillId="0" borderId="0" xfId="0" applyNumberFormat="1" applyFont="1" applyFill="1" applyBorder="1" applyAlignment="1">
      <alignment horizontal="right"/>
    </xf>
    <xf numFmtId="0" fontId="2" fillId="0" borderId="1" xfId="0" applyFont="1" applyFill="1" applyBorder="1"/>
    <xf numFmtId="164" fontId="2" fillId="0" borderId="5" xfId="0" applyNumberFormat="1" applyFont="1" applyFill="1" applyBorder="1" applyAlignment="1">
      <alignment horizontal="right"/>
    </xf>
    <xf numFmtId="0" fontId="2" fillId="0" borderId="5" xfId="0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0" borderId="0" xfId="0" applyFont="1" applyBorder="1"/>
    <xf numFmtId="0" fontId="2" fillId="0" borderId="10" xfId="0" applyFont="1" applyBorder="1"/>
    <xf numFmtId="164" fontId="5" fillId="0" borderId="0" xfId="0" applyNumberFormat="1" applyFont="1" applyFill="1" applyBorder="1" applyAlignment="1"/>
    <xf numFmtId="0" fontId="5" fillId="0" borderId="0" xfId="0" applyFont="1" applyFill="1" applyBorder="1" applyAlignment="1"/>
    <xf numFmtId="0" fontId="4" fillId="0" borderId="0" xfId="0" applyFont="1" applyFill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8" fillId="0" borderId="0" xfId="0" applyFont="1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12" fillId="4" borderId="11" xfId="0" applyFont="1" applyFill="1" applyBorder="1" applyAlignment="1">
      <alignment vertical="center"/>
    </xf>
    <xf numFmtId="0" fontId="13" fillId="2" borderId="12" xfId="0" applyFont="1" applyFill="1" applyBorder="1" applyAlignment="1">
      <alignment vertical="center"/>
    </xf>
    <xf numFmtId="0" fontId="13" fillId="3" borderId="13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/>
    </xf>
    <xf numFmtId="0" fontId="11" fillId="0" borderId="0" xfId="0" applyFont="1" applyFill="1" applyBorder="1" applyAlignment="1">
      <alignment vertical="center"/>
    </xf>
    <xf numFmtId="9" fontId="2" fillId="0" borderId="0" xfId="0" applyNumberFormat="1" applyFont="1" applyFill="1" applyBorder="1" applyAlignment="1">
      <alignment vertical="top"/>
    </xf>
    <xf numFmtId="0" fontId="14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top"/>
    </xf>
    <xf numFmtId="165" fontId="12" fillId="0" borderId="0" xfId="0" applyNumberFormat="1" applyFont="1" applyFill="1" applyBorder="1" applyAlignment="1">
      <alignment horizontal="left"/>
    </xf>
    <xf numFmtId="0" fontId="13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165" fontId="12" fillId="0" borderId="1" xfId="0" applyNumberFormat="1" applyFont="1" applyFill="1" applyBorder="1" applyAlignment="1">
      <alignment horizontal="left"/>
    </xf>
    <xf numFmtId="2" fontId="2" fillId="0" borderId="0" xfId="0" applyNumberFormat="1" applyFont="1" applyFill="1" applyAlignment="1">
      <alignment vertical="top"/>
    </xf>
    <xf numFmtId="0" fontId="7" fillId="0" borderId="0" xfId="0" applyFont="1" applyFill="1" applyBorder="1" applyAlignment="1">
      <alignment horizontal="right" vertical="top"/>
    </xf>
    <xf numFmtId="166" fontId="15" fillId="0" borderId="0" xfId="0" applyNumberFormat="1" applyFont="1" applyFill="1" applyAlignment="1">
      <alignment vertical="top"/>
    </xf>
    <xf numFmtId="166" fontId="2" fillId="0" borderId="0" xfId="0" applyNumberFormat="1" applyFont="1" applyFill="1" applyAlignment="1">
      <alignment vertical="top"/>
    </xf>
    <xf numFmtId="166" fontId="2" fillId="0" borderId="0" xfId="0" applyNumberFormat="1" applyFont="1" applyFill="1" applyBorder="1" applyAlignment="1">
      <alignment vertical="top"/>
    </xf>
    <xf numFmtId="164" fontId="2" fillId="0" borderId="16" xfId="0" applyNumberFormat="1" applyFont="1" applyFill="1" applyBorder="1" applyAlignment="1">
      <alignment horizontal="right"/>
    </xf>
    <xf numFmtId="0" fontId="2" fillId="0" borderId="0" xfId="0" applyFont="1" applyBorder="1" applyAlignment="1"/>
    <xf numFmtId="0" fontId="2" fillId="0" borderId="1" xfId="0" applyFont="1" applyBorder="1" applyAlignment="1"/>
    <xf numFmtId="0" fontId="0" fillId="0" borderId="0" xfId="0" applyFill="1" applyAlignment="1">
      <alignment vertical="top"/>
    </xf>
    <xf numFmtId="164" fontId="2" fillId="0" borderId="18" xfId="0" applyNumberFormat="1" applyFont="1" applyFill="1" applyBorder="1" applyAlignment="1">
      <alignment horizontal="right"/>
    </xf>
    <xf numFmtId="0" fontId="2" fillId="0" borderId="19" xfId="0" applyFont="1" applyFill="1" applyBorder="1"/>
    <xf numFmtId="164" fontId="2" fillId="0" borderId="20" xfId="0" applyNumberFormat="1" applyFont="1" applyFill="1" applyBorder="1" applyAlignment="1">
      <alignment horizontal="right"/>
    </xf>
    <xf numFmtId="0" fontId="7" fillId="0" borderId="4" xfId="0" applyFont="1" applyFill="1" applyBorder="1" applyAlignment="1">
      <alignment horizontal="left"/>
    </xf>
    <xf numFmtId="164" fontId="7" fillId="0" borderId="6" xfId="0" applyNumberFormat="1" applyFont="1" applyFill="1" applyBorder="1" applyAlignment="1">
      <alignment horizontal="right"/>
    </xf>
    <xf numFmtId="164" fontId="7" fillId="0" borderId="4" xfId="0" applyNumberFormat="1" applyFont="1" applyFill="1" applyBorder="1" applyAlignment="1">
      <alignment horizontal="right"/>
    </xf>
    <xf numFmtId="0" fontId="5" fillId="5" borderId="17" xfId="0" applyFont="1" applyFill="1" applyBorder="1" applyAlignment="1">
      <alignment horizontal="left"/>
    </xf>
    <xf numFmtId="164" fontId="2" fillId="0" borderId="21" xfId="0" applyNumberFormat="1" applyFont="1" applyFill="1" applyBorder="1" applyAlignment="1">
      <alignment horizontal="right"/>
    </xf>
    <xf numFmtId="0" fontId="5" fillId="5" borderId="17" xfId="0" applyFont="1" applyFill="1" applyBorder="1" applyAlignment="1">
      <alignment horizontal="right"/>
    </xf>
    <xf numFmtId="164" fontId="2" fillId="0" borderId="21" xfId="0" applyNumberFormat="1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5" fillId="5" borderId="17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left"/>
    </xf>
    <xf numFmtId="164" fontId="7" fillId="0" borderId="23" xfId="0" applyNumberFormat="1" applyFont="1" applyFill="1" applyBorder="1" applyAlignment="1">
      <alignment horizontal="right"/>
    </xf>
    <xf numFmtId="0" fontId="6" fillId="0" borderId="24" xfId="0" applyFont="1" applyFill="1" applyBorder="1" applyAlignment="1">
      <alignment horizontal="left"/>
    </xf>
    <xf numFmtId="164" fontId="2" fillId="0" borderId="25" xfId="0" applyNumberFormat="1" applyFont="1" applyFill="1" applyBorder="1" applyAlignment="1">
      <alignment horizontal="right"/>
    </xf>
    <xf numFmtId="0" fontId="6" fillId="0" borderId="3" xfId="0" applyFont="1" applyFill="1" applyBorder="1" applyAlignment="1">
      <alignment horizontal="left"/>
    </xf>
    <xf numFmtId="164" fontId="2" fillId="0" borderId="26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5" fillId="0" borderId="0" xfId="0" applyFont="1" applyFill="1" applyBorder="1"/>
    <xf numFmtId="0" fontId="16" fillId="0" borderId="0" xfId="0" applyFont="1" applyAlignment="1">
      <alignment vertical="top"/>
    </xf>
    <xf numFmtId="0" fontId="17" fillId="0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2" fillId="0" borderId="0" xfId="0" applyFont="1" applyFill="1" applyBorder="1" applyAlignment="1">
      <alignment horizontal="left" vertical="top" wrapText="1"/>
    </xf>
    <xf numFmtId="0" fontId="9" fillId="5" borderId="0" xfId="0" applyFont="1" applyFill="1" applyBorder="1" applyAlignment="1">
      <alignment horizontal="left" vertical="top" wrapText="1"/>
    </xf>
    <xf numFmtId="164" fontId="5" fillId="5" borderId="14" xfId="0" applyNumberFormat="1" applyFont="1" applyFill="1" applyBorder="1" applyAlignment="1">
      <alignment horizontal="center"/>
    </xf>
    <xf numFmtId="164" fontId="5" fillId="5" borderId="15" xfId="0" applyNumberFormat="1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64" fontId="5" fillId="5" borderId="8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4" fontId="5" fillId="5" borderId="0" xfId="0" applyNumberFormat="1" applyFont="1" applyFill="1" applyBorder="1" applyAlignment="1">
      <alignment horizontal="center"/>
    </xf>
    <xf numFmtId="0" fontId="11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center"/>
    </xf>
    <xf numFmtId="164" fontId="5" fillId="5" borderId="9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10" fontId="5" fillId="5" borderId="9" xfId="0" applyNumberFormat="1" applyFont="1" applyFill="1" applyBorder="1" applyAlignment="1">
      <alignment horizontal="center"/>
    </xf>
    <xf numFmtId="10" fontId="5" fillId="5" borderId="2" xfId="0" applyNumberFormat="1" applyFont="1" applyFill="1" applyBorder="1" applyAlignment="1">
      <alignment horizontal="center"/>
    </xf>
    <xf numFmtId="10" fontId="5" fillId="5" borderId="8" xfId="0" applyNumberFormat="1" applyFont="1" applyFill="1" applyBorder="1" applyAlignment="1">
      <alignment horizontal="center"/>
    </xf>
    <xf numFmtId="10" fontId="5" fillId="5" borderId="1" xfId="0" applyNumberFormat="1" applyFont="1" applyFill="1" applyBorder="1" applyAlignment="1">
      <alignment horizontal="center"/>
    </xf>
    <xf numFmtId="0" fontId="10" fillId="6" borderId="8" xfId="0" applyFont="1" applyFill="1" applyBorder="1" applyAlignment="1">
      <alignment horizontal="left" vertical="center"/>
    </xf>
    <xf numFmtId="0" fontId="10" fillId="6" borderId="0" xfId="0" applyFont="1" applyFill="1" applyBorder="1" applyAlignment="1">
      <alignment horizontal="left" vertical="center"/>
    </xf>
    <xf numFmtId="0" fontId="1" fillId="6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A9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chemeClr val="tx1"/>
                </a:solidFill>
                <a:latin typeface="+mn-lt"/>
              </a:rPr>
              <a:t>Revenue</a:t>
            </a:r>
            <a:r>
              <a:rPr lang="en-IN" sz="1100" b="1" baseline="0">
                <a:solidFill>
                  <a:schemeClr val="tx1"/>
                </a:solidFill>
                <a:latin typeface="+mn-lt"/>
              </a:rPr>
              <a:t> Trend: Acutal vs Budget vs Forecast</a:t>
            </a:r>
            <a:endParaRPr lang="en-IN" sz="1100" b="1">
              <a:solidFill>
                <a:schemeClr val="tx1"/>
              </a:solidFill>
              <a:latin typeface="+mn-lt"/>
            </a:endParaRPr>
          </a:p>
        </c:rich>
      </c:tx>
      <c:layout>
        <c:manualLayout>
          <c:xMode val="edge"/>
          <c:yMode val="edge"/>
          <c:x val="7.9963615659153733E-2"/>
          <c:y val="6.7634482582881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800705467372132E-2"/>
          <c:y val="0.23709219858156028"/>
          <c:w val="0.79226235609437712"/>
          <c:h val="0.598381080024571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Dashborad!$C$20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Dashborad!$B$21:$B$23</c:f>
              <c:strCache>
                <c:ptCount val="3"/>
                <c:pt idx="0">
                  <c:v>Oct 2025</c:v>
                </c:pt>
                <c:pt idx="1">
                  <c:v>Nov 2025</c:v>
                </c:pt>
                <c:pt idx="2">
                  <c:v>Dec 2025</c:v>
                </c:pt>
              </c:strCache>
            </c:strRef>
          </c:cat>
          <c:val>
            <c:numRef>
              <c:f>Dashborad!$C$21:$C$23</c:f>
              <c:numCache>
                <c:formatCode>#,##0.00;\(#,##0.00\)</c:formatCode>
                <c:ptCount val="3"/>
                <c:pt idx="0">
                  <c:v>395000</c:v>
                </c:pt>
                <c:pt idx="1">
                  <c:v>418000</c:v>
                </c:pt>
                <c:pt idx="2">
                  <c:v>437000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3-4F05-92D1-E842EC46409B}"/>
            </c:ext>
          </c:extLst>
        </c:ser>
        <c:ser>
          <c:idx val="1"/>
          <c:order val="1"/>
          <c:tx>
            <c:strRef>
              <c:f>Dashborad!$D$20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Dashborad!$B$21:$B$23</c:f>
              <c:strCache>
                <c:ptCount val="3"/>
                <c:pt idx="0">
                  <c:v>Oct 2025</c:v>
                </c:pt>
                <c:pt idx="1">
                  <c:v>Nov 2025</c:v>
                </c:pt>
                <c:pt idx="2">
                  <c:v>Dec 2025</c:v>
                </c:pt>
              </c:strCache>
            </c:strRef>
          </c:cat>
          <c:val>
            <c:numRef>
              <c:f>Dashborad!$D$21:$D$23</c:f>
              <c:numCache>
                <c:formatCode>#,##0.00;\(#,##0.00\)</c:formatCode>
                <c:ptCount val="3"/>
                <c:pt idx="0">
                  <c:v>320000</c:v>
                </c:pt>
                <c:pt idx="1">
                  <c:v>335000</c:v>
                </c:pt>
                <c:pt idx="2">
                  <c:v>345000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13-4F05-92D1-E842EC46409B}"/>
            </c:ext>
          </c:extLst>
        </c:ser>
        <c:ser>
          <c:idx val="2"/>
          <c:order val="2"/>
          <c:tx>
            <c:strRef>
              <c:f>Dashborad!$E$20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Dashborad!$B$21:$B$23</c:f>
              <c:strCache>
                <c:ptCount val="3"/>
                <c:pt idx="0">
                  <c:v>Oct 2025</c:v>
                </c:pt>
                <c:pt idx="1">
                  <c:v>Nov 2025</c:v>
                </c:pt>
                <c:pt idx="2">
                  <c:v>Dec 2025</c:v>
                </c:pt>
              </c:strCache>
            </c:strRef>
          </c:cat>
          <c:val>
            <c:numRef>
              <c:f>Dashborad!$E$21:$E$23</c:f>
              <c:numCache>
                <c:formatCode>#,##0.00;\(#,##0.00\)</c:formatCode>
                <c:ptCount val="3"/>
                <c:pt idx="0">
                  <c:v>370000</c:v>
                </c:pt>
                <c:pt idx="1">
                  <c:v>385000</c:v>
                </c:pt>
                <c:pt idx="2">
                  <c:v>395000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13-4F05-92D1-E842EC464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5570272"/>
        <c:axId val="1765573600"/>
      </c:barChart>
      <c:catAx>
        <c:axId val="176557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573600"/>
        <c:crosses val="autoZero"/>
        <c:auto val="1"/>
        <c:lblAlgn val="ctr"/>
        <c:lblOffset val="100"/>
        <c:noMultiLvlLbl val="0"/>
      </c:catAx>
      <c:valAx>
        <c:axId val="1765573600"/>
        <c:scaling>
          <c:orientation val="minMax"/>
        </c:scaling>
        <c:delete val="1"/>
        <c:axPos val="l"/>
        <c:numFmt formatCode="#,##0.00;\(#,##0.00\)" sourceLinked="1"/>
        <c:majorTickMark val="none"/>
        <c:minorTickMark val="none"/>
        <c:tickLblPos val="nextTo"/>
        <c:crossAx val="176557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/>
                </a:solidFill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effectLst/>
                <a:latin typeface="Calibri" panose="020F0502020204030204"/>
              </a:rPr>
              <a:t>EBITDA Bridge: Budget vs Actual</a:t>
            </a:r>
            <a:endParaRPr lang="en-IN">
              <a:solidFill>
                <a:sysClr val="windowText" lastClr="000000"/>
              </a:solidFill>
              <a:effectLst/>
            </a:endParaRPr>
          </a:p>
        </cx:rich>
      </cx:tx>
    </cx:title>
    <cx:plotArea>
      <cx:plotAreaRegion>
        <cx:series layoutId="waterfall" uniqueId="{2077E5D4-8431-4726-A3FE-1E930F7BABF2}">
          <cx:tx>
            <cx:txData>
              <cx:f>_xlchart.v1.1</cx:f>
              <cx:v>Value</cx:v>
            </cx:txData>
          </cx:tx>
          <cx:spPr>
            <a:ln>
              <a:noFill/>
            </a:ln>
          </cx:spPr>
          <cx:dataPt idx="0">
            <cx:spPr>
              <a:solidFill>
                <a:schemeClr val="bg1">
                  <a:lumMod val="65000"/>
                </a:schemeClr>
              </a:solidFill>
            </cx:spPr>
          </cx:dataPt>
          <cx:dataPt idx="1">
            <cx:spPr>
              <a:solidFill>
                <a:srgbClr val="002060"/>
              </a:solidFill>
            </cx:spPr>
          </cx:dataPt>
          <cx:dataPt idx="4">
            <cx:spPr>
              <a:solidFill>
                <a:schemeClr val="bg1">
                  <a:lumMod val="65000"/>
                </a:schemeClr>
              </a:solidFill>
            </cx:spPr>
          </cx:dataPt>
          <cx:dataLabels pos="outEnd">
            <cx:numFmt formatCode="#,K" sourceLinked="0"/>
            <cx:txPr>
              <a:bodyPr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Calibri" panose="020F0502020204030204"/>
                  </a:defRPr>
                </a:pPr>
                <a:endParaRPr lang="en-US" b="0">
                  <a:solidFill>
                    <a:schemeClr val="tx1"/>
                  </a:solidFill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connectorLines="0"/>
            <cx:subtotals>
              <cx:idx val="0"/>
              <cx:idx val="4"/>
            </cx:subtotals>
          </cx:layoutPr>
        </cx:series>
      </cx:plotAreaRegion>
      <cx:axis id="0">
        <cx:catScaling gapWidth="1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Calibri" panose="020F0502020204030204"/>
              </a:defRPr>
            </a:pPr>
            <a:endParaRPr lang="en-US" b="1">
              <a:solidFill>
                <a:sysClr val="windowText" lastClr="000000"/>
              </a:solidFill>
            </a:endParaRPr>
          </a:p>
        </cx:txPr>
      </cx:axis>
      <cx:axis id="1" hidden="1">
        <cx:valScaling/>
        <cx:tickLabels/>
      </cx:axis>
    </cx:plotArea>
    <cx:legend pos="b" align="ctr" overlay="0">
      <cx:txPr>
        <a:bodyPr spcFirstLastPara="1" vertOverflow="ellipsis" wrap="square" lIns="0" tIns="0" rIns="0" bIns="0" anchor="ctr" anchorCtr="1"/>
        <a:lstStyle/>
        <a:p>
          <a:pPr>
            <a:defRPr b="1">
              <a:solidFill>
                <a:schemeClr val="tx1"/>
              </a:solidFill>
            </a:defRPr>
          </a:pPr>
          <a:endParaRPr lang="en-US" b="1">
            <a:solidFill>
              <a:schemeClr val="tx1"/>
            </a:solidFill>
          </a:endParaRPr>
        </a:p>
      </cx:txPr>
    </cx:legend>
  </cx:chart>
  <cx:spPr>
    <a:noFill/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123826</xdr:colOff>
      <xdr:row>18</xdr:row>
      <xdr:rowOff>104775</xdr:rowOff>
    </xdr:from>
    <xdr:to>
      <xdr:col>9</xdr:col>
      <xdr:colOff>19050</xdr:colOff>
      <xdr:row>25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200025</xdr:colOff>
      <xdr:row>29</xdr:row>
      <xdr:rowOff>161925</xdr:rowOff>
    </xdr:from>
    <xdr:to>
      <xdr:col>9</xdr:col>
      <xdr:colOff>0</xdr:colOff>
      <xdr:row>43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T77"/>
  <sheetViews>
    <sheetView showGridLines="0" tabSelected="1" topLeftCell="A55" zoomScale="85" zoomScaleNormal="85" workbookViewId="0">
      <selection activeCell="F81" sqref="F81"/>
    </sheetView>
  </sheetViews>
  <sheetFormatPr defaultRowHeight="15"/>
  <cols>
    <col min="1" max="1" width="1.85546875" style="1" customWidth="1"/>
    <col min="2" max="2" width="14.5703125" style="3" bestFit="1" customWidth="1"/>
    <col min="3" max="3" width="12.140625" style="3" customWidth="1"/>
    <col min="4" max="4" width="14.42578125" style="3" bestFit="1" customWidth="1"/>
    <col min="5" max="5" width="14.140625" style="3" customWidth="1"/>
    <col min="6" max="6" width="15.7109375" style="3" customWidth="1"/>
    <col min="7" max="7" width="16.140625" style="3" customWidth="1"/>
    <col min="8" max="8" width="19.7109375" style="3" customWidth="1"/>
    <col min="9" max="9" width="16.85546875" style="3" customWidth="1"/>
    <col min="10" max="10" width="12.85546875" style="3" bestFit="1" customWidth="1"/>
    <col min="11" max="11" width="15.42578125" style="3" customWidth="1"/>
    <col min="12" max="12" width="9.85546875" style="3" bestFit="1" customWidth="1"/>
    <col min="13" max="13" width="9.7109375" style="3" bestFit="1" customWidth="1"/>
    <col min="14" max="17" width="9.140625" style="3"/>
    <col min="18" max="16384" width="9.140625" style="1"/>
  </cols>
  <sheetData>
    <row r="1" spans="1:18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5"/>
    </row>
    <row r="3" spans="1:18" ht="23.25">
      <c r="B3" s="90" t="s">
        <v>0</v>
      </c>
      <c r="C3" s="90"/>
      <c r="D3" s="90"/>
      <c r="E3" s="90"/>
      <c r="F3" s="90"/>
      <c r="G3" s="90"/>
      <c r="H3" s="90"/>
      <c r="I3" s="90"/>
      <c r="J3" s="6"/>
      <c r="K3" s="6"/>
      <c r="L3" s="6"/>
      <c r="M3" s="6"/>
      <c r="N3" s="6"/>
      <c r="O3" s="6"/>
      <c r="P3" s="6"/>
      <c r="Q3" s="7"/>
    </row>
    <row r="4" spans="1:18">
      <c r="B4" s="81" t="s">
        <v>1</v>
      </c>
      <c r="C4" s="81"/>
      <c r="D4" s="81"/>
      <c r="E4" s="81"/>
      <c r="F4" s="81"/>
      <c r="G4" s="81"/>
      <c r="H4" s="81"/>
      <c r="I4" s="81"/>
      <c r="J4" s="45"/>
      <c r="K4" s="45"/>
      <c r="L4" s="45"/>
      <c r="M4" s="45"/>
      <c r="N4" s="45"/>
      <c r="O4" s="45"/>
      <c r="P4" s="45"/>
      <c r="Q4" s="46"/>
    </row>
    <row r="5" spans="1:18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5"/>
    </row>
    <row r="6" spans="1:18">
      <c r="B6" s="80" t="s">
        <v>47</v>
      </c>
      <c r="C6" s="80"/>
      <c r="D6" s="80"/>
      <c r="E6" s="80"/>
      <c r="F6" s="80"/>
      <c r="G6" s="80"/>
      <c r="H6" s="80"/>
      <c r="I6" s="80"/>
      <c r="J6" s="6"/>
      <c r="K6" s="6"/>
      <c r="L6" s="6"/>
      <c r="M6" s="6"/>
      <c r="N6" s="6"/>
      <c r="O6" s="6"/>
      <c r="P6" s="6"/>
      <c r="Q6" s="7"/>
    </row>
    <row r="7" spans="1:18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"/>
    </row>
    <row r="8" spans="1:18" ht="18.75">
      <c r="A8" s="5"/>
      <c r="B8" s="88" t="s">
        <v>15</v>
      </c>
      <c r="C8" s="89"/>
      <c r="D8" s="89"/>
      <c r="E8" s="89"/>
      <c r="F8" s="89"/>
      <c r="G8" s="89"/>
      <c r="H8" s="89"/>
      <c r="I8" s="89"/>
      <c r="J8" s="21"/>
      <c r="K8" s="21"/>
      <c r="L8" s="21"/>
      <c r="M8" s="21"/>
      <c r="N8" s="21"/>
      <c r="O8" s="21"/>
      <c r="P8" s="21"/>
      <c r="Q8" s="22"/>
    </row>
    <row r="9" spans="1:18" ht="3" customHeight="1">
      <c r="A9" s="5"/>
      <c r="B9" s="1"/>
      <c r="C9" s="1"/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5"/>
    </row>
    <row r="10" spans="1:18">
      <c r="A10" s="5"/>
      <c r="B10" s="75" t="s">
        <v>16</v>
      </c>
      <c r="C10" s="76"/>
      <c r="D10" s="75" t="s">
        <v>17</v>
      </c>
      <c r="E10" s="76"/>
      <c r="F10" s="77" t="s">
        <v>2</v>
      </c>
      <c r="G10" s="78"/>
      <c r="H10" s="79" t="s">
        <v>18</v>
      </c>
      <c r="I10" s="78"/>
      <c r="J10" s="1"/>
      <c r="K10" s="19"/>
      <c r="L10" s="19"/>
      <c r="M10" s="19"/>
      <c r="O10" s="19"/>
      <c r="P10" s="19"/>
      <c r="Q10" s="19"/>
      <c r="R10" s="2"/>
    </row>
    <row r="11" spans="1:18">
      <c r="A11" s="5"/>
      <c r="B11" s="82">
        <v>1250000</v>
      </c>
      <c r="C11" s="83"/>
      <c r="D11" s="84">
        <v>0.6</v>
      </c>
      <c r="E11" s="85"/>
      <c r="F11" s="77">
        <v>-150000</v>
      </c>
      <c r="G11" s="78"/>
      <c r="H11" s="79">
        <v>450000</v>
      </c>
      <c r="I11" s="78"/>
      <c r="J11" s="1"/>
      <c r="K11" s="19"/>
      <c r="L11" s="19"/>
      <c r="M11" s="19"/>
      <c r="O11" s="19"/>
      <c r="P11" s="19"/>
      <c r="Q11" s="19"/>
      <c r="R11" s="4"/>
    </row>
    <row r="12" spans="1:18">
      <c r="A12" s="5"/>
      <c r="B12" s="26" t="s">
        <v>19</v>
      </c>
      <c r="C12" s="27" t="s">
        <v>3</v>
      </c>
      <c r="D12" s="26" t="s">
        <v>4</v>
      </c>
      <c r="E12" s="27" t="s">
        <v>3</v>
      </c>
      <c r="F12" s="26" t="s">
        <v>5</v>
      </c>
      <c r="G12" s="28" t="s">
        <v>6</v>
      </c>
      <c r="H12" s="26" t="s">
        <v>7</v>
      </c>
      <c r="I12" s="28" t="s">
        <v>6</v>
      </c>
      <c r="J12" s="1"/>
      <c r="K12" s="29"/>
      <c r="M12" s="29"/>
      <c r="O12" s="29"/>
      <c r="Q12" s="29"/>
    </row>
    <row r="13" spans="1:18">
      <c r="A13" s="5"/>
      <c r="B13" s="1"/>
      <c r="C13" s="5"/>
      <c r="D13" s="1"/>
      <c r="E13" s="5"/>
      <c r="F13" s="1"/>
      <c r="G13" s="5"/>
      <c r="H13" s="1"/>
      <c r="I13" s="5"/>
      <c r="J13" s="1"/>
      <c r="K13" s="1"/>
      <c r="L13" s="1"/>
      <c r="M13" s="5"/>
      <c r="N13" s="1"/>
      <c r="O13" s="1"/>
      <c r="P13" s="1"/>
      <c r="Q13" s="5"/>
    </row>
    <row r="14" spans="1:18">
      <c r="A14" s="5"/>
      <c r="B14" s="75" t="s">
        <v>8</v>
      </c>
      <c r="C14" s="76"/>
      <c r="D14" s="75" t="s">
        <v>9</v>
      </c>
      <c r="E14" s="76"/>
      <c r="F14" s="75" t="s">
        <v>10</v>
      </c>
      <c r="G14" s="76"/>
      <c r="H14" s="75" t="s">
        <v>11</v>
      </c>
      <c r="I14" s="76"/>
      <c r="J14" s="1"/>
      <c r="K14" s="20"/>
      <c r="L14" s="20"/>
      <c r="M14" s="20"/>
      <c r="O14" s="20"/>
      <c r="P14" s="20"/>
      <c r="Q14" s="20"/>
    </row>
    <row r="15" spans="1:18">
      <c r="A15" s="5"/>
      <c r="B15" s="86">
        <v>0.72</v>
      </c>
      <c r="C15" s="87"/>
      <c r="D15" s="75">
        <v>125</v>
      </c>
      <c r="E15" s="76"/>
      <c r="F15" s="73">
        <v>4800000</v>
      </c>
      <c r="G15" s="74"/>
      <c r="H15" s="73" t="s">
        <v>21</v>
      </c>
      <c r="I15" s="74"/>
      <c r="J15" s="1"/>
      <c r="K15" s="19"/>
      <c r="L15" s="19"/>
      <c r="M15" s="19"/>
      <c r="O15" s="19"/>
      <c r="P15" s="19"/>
      <c r="Q15" s="19"/>
    </row>
    <row r="16" spans="1:18">
      <c r="A16" s="17"/>
      <c r="B16" s="26" t="s">
        <v>12</v>
      </c>
      <c r="C16" s="27" t="s">
        <v>3</v>
      </c>
      <c r="D16" s="26" t="s">
        <v>13</v>
      </c>
      <c r="E16" s="27" t="s">
        <v>3</v>
      </c>
      <c r="F16" s="26" t="s">
        <v>14</v>
      </c>
      <c r="G16" s="27" t="s">
        <v>3</v>
      </c>
      <c r="H16" s="26" t="s">
        <v>22</v>
      </c>
      <c r="I16" s="28" t="s">
        <v>6</v>
      </c>
      <c r="J16" s="17"/>
      <c r="K16" s="6"/>
      <c r="L16" s="17"/>
      <c r="M16" s="6"/>
      <c r="N16" s="17"/>
      <c r="O16" s="6"/>
      <c r="P16" s="17"/>
      <c r="Q16" s="6"/>
    </row>
    <row r="17" spans="1:20">
      <c r="A17" s="17"/>
      <c r="B17" s="18"/>
      <c r="C17" s="18"/>
      <c r="D17" s="18"/>
      <c r="E17" s="18"/>
      <c r="F17" s="18"/>
      <c r="G17" s="18"/>
      <c r="H17" s="18"/>
      <c r="I17" s="18"/>
    </row>
    <row r="18" spans="1:20" ht="18.75">
      <c r="B18" s="88" t="s">
        <v>23</v>
      </c>
      <c r="C18" s="89"/>
      <c r="D18" s="89"/>
      <c r="E18" s="89"/>
      <c r="F18" s="89"/>
      <c r="G18" s="89"/>
      <c r="H18" s="89"/>
      <c r="I18" s="89"/>
      <c r="J18" s="21"/>
      <c r="K18" s="21"/>
      <c r="L18" s="21"/>
      <c r="M18" s="21"/>
      <c r="N18" s="21"/>
      <c r="O18" s="21"/>
      <c r="P18" s="21"/>
      <c r="Q18" s="21"/>
    </row>
    <row r="19" spans="1:20" ht="15.75" customHeight="1" thickBot="1">
      <c r="B19" s="30"/>
      <c r="C19" s="29"/>
      <c r="D19" s="29"/>
      <c r="E19" s="29"/>
      <c r="F19" s="30"/>
      <c r="G19" s="29"/>
      <c r="H19" s="29"/>
      <c r="I19" s="29"/>
      <c r="J19" s="30"/>
      <c r="K19" s="29"/>
      <c r="L19" s="29"/>
      <c r="M19" s="29"/>
      <c r="N19" s="30"/>
      <c r="O19" s="29"/>
      <c r="P19" s="29"/>
      <c r="Q19" s="29"/>
    </row>
    <row r="20" spans="1:20" ht="18.75" customHeight="1" thickBot="1">
      <c r="B20" s="54" t="s">
        <v>29</v>
      </c>
      <c r="C20" s="56" t="s">
        <v>24</v>
      </c>
      <c r="D20" s="56" t="s">
        <v>25</v>
      </c>
      <c r="E20" s="56" t="s">
        <v>26</v>
      </c>
      <c r="F20" s="56" t="s">
        <v>27</v>
      </c>
      <c r="G20" s="31"/>
      <c r="H20" s="31"/>
      <c r="I20" s="32"/>
      <c r="J20" s="32"/>
      <c r="K20" s="32"/>
      <c r="L20" s="32"/>
      <c r="M20" s="32"/>
      <c r="N20" s="33"/>
      <c r="O20" s="29"/>
      <c r="P20" s="34"/>
      <c r="Q20" s="29"/>
    </row>
    <row r="21" spans="1:20" ht="18.75" customHeight="1">
      <c r="B21" s="35" t="s">
        <v>48</v>
      </c>
      <c r="C21" s="55">
        <v>395000</v>
      </c>
      <c r="D21" s="55">
        <v>320000</v>
      </c>
      <c r="E21" s="11">
        <v>370000</v>
      </c>
      <c r="F21" s="15">
        <f>C21-D21</f>
        <v>75000</v>
      </c>
      <c r="G21" s="29"/>
      <c r="H21" s="36"/>
      <c r="I21" s="10"/>
      <c r="J21" s="10"/>
      <c r="K21" s="10"/>
      <c r="L21" s="10"/>
      <c r="M21" s="10"/>
      <c r="N21" s="37"/>
      <c r="O21" s="29"/>
      <c r="P21" s="36"/>
      <c r="Q21" s="29"/>
    </row>
    <row r="22" spans="1:20" ht="19.5" customHeight="1">
      <c r="B22" s="35" t="s">
        <v>49</v>
      </c>
      <c r="C22" s="11">
        <v>418000</v>
      </c>
      <c r="D22" s="11">
        <v>335000</v>
      </c>
      <c r="E22" s="11">
        <v>385000</v>
      </c>
      <c r="F22" s="11">
        <f>C22-D22</f>
        <v>83000</v>
      </c>
      <c r="I22" s="10"/>
      <c r="J22" s="10"/>
      <c r="K22" s="10"/>
      <c r="L22" s="10"/>
      <c r="M22" s="10"/>
    </row>
    <row r="23" spans="1:20" ht="18" customHeight="1">
      <c r="B23" s="38" t="s">
        <v>50</v>
      </c>
      <c r="C23" s="13">
        <v>437000</v>
      </c>
      <c r="D23" s="13">
        <v>345000</v>
      </c>
      <c r="E23" s="13">
        <v>395000</v>
      </c>
      <c r="F23" s="15">
        <f>C23-D23</f>
        <v>92000</v>
      </c>
      <c r="I23" s="10"/>
      <c r="J23" s="10"/>
      <c r="K23" s="10"/>
      <c r="L23" s="10"/>
      <c r="M23" s="10"/>
    </row>
    <row r="24" spans="1:20" ht="18.75" customHeight="1" thickBot="1">
      <c r="B24" s="51" t="s">
        <v>28</v>
      </c>
      <c r="C24" s="52">
        <f>SUM(C21:C23)</f>
        <v>1250000</v>
      </c>
      <c r="D24" s="52">
        <f>SUM(D21:D23)</f>
        <v>1000000</v>
      </c>
      <c r="E24" s="52">
        <f>SUM(E21:E23)</f>
        <v>1150000</v>
      </c>
      <c r="F24" s="53">
        <f>SUM(F21:F23)</f>
        <v>250000</v>
      </c>
      <c r="G24" s="39"/>
      <c r="H24" s="39"/>
      <c r="I24" s="40"/>
      <c r="J24" s="40"/>
      <c r="K24" s="40"/>
      <c r="L24" s="40"/>
      <c r="M24" s="40"/>
      <c r="N24" s="39"/>
      <c r="O24" s="39"/>
      <c r="P24" s="39"/>
      <c r="Q24" s="39"/>
      <c r="R24" s="39"/>
      <c r="S24" s="39"/>
      <c r="T24" s="8"/>
    </row>
    <row r="25" spans="1:20">
      <c r="B25" s="12"/>
      <c r="C25" s="14"/>
      <c r="D25" s="14"/>
      <c r="E25" s="14"/>
      <c r="F25" s="16"/>
    </row>
    <row r="26" spans="1:20">
      <c r="C26" s="9"/>
      <c r="D26" s="9"/>
      <c r="E26" s="9"/>
      <c r="F26" s="9"/>
    </row>
    <row r="27" spans="1:20" ht="28.5" customHeight="1">
      <c r="A27" s="23"/>
      <c r="B27" s="72" t="s">
        <v>30</v>
      </c>
      <c r="C27" s="72"/>
      <c r="D27" s="72"/>
      <c r="E27" s="72"/>
      <c r="F27" s="72"/>
      <c r="G27" s="72"/>
      <c r="H27" s="72"/>
      <c r="I27" s="72"/>
    </row>
    <row r="29" spans="1:20" ht="18.75">
      <c r="B29" s="88" t="s">
        <v>31</v>
      </c>
      <c r="C29" s="89"/>
      <c r="D29" s="89"/>
      <c r="E29" s="89"/>
      <c r="F29" s="89"/>
      <c r="G29" s="89"/>
      <c r="H29" s="89"/>
      <c r="I29" s="89"/>
    </row>
    <row r="30" spans="1:20" ht="15.75" thickBot="1">
      <c r="B30" s="41"/>
      <c r="C30" s="42"/>
      <c r="D30" s="42"/>
      <c r="E30" s="42"/>
      <c r="F30" s="43"/>
      <c r="G30" s="43"/>
      <c r="H30" s="43"/>
      <c r="I30" s="43"/>
      <c r="J30" s="42"/>
      <c r="K30" s="42"/>
      <c r="L30" s="42"/>
      <c r="M30" s="42"/>
      <c r="N30" s="42"/>
      <c r="O30" s="42"/>
      <c r="P30" s="42"/>
      <c r="Q30" s="42"/>
    </row>
    <row r="31" spans="1:20" ht="15.75" thickBot="1">
      <c r="B31" s="56" t="s">
        <v>40</v>
      </c>
      <c r="C31" s="56" t="s">
        <v>24</v>
      </c>
      <c r="D31" s="56" t="s">
        <v>25</v>
      </c>
      <c r="E31" s="56" t="s">
        <v>27</v>
      </c>
      <c r="F31" s="32"/>
      <c r="G31" s="1"/>
      <c r="H31" s="1"/>
      <c r="I31" s="32"/>
      <c r="J31" s="25"/>
      <c r="K31" s="25"/>
      <c r="L31" s="25"/>
      <c r="Q31" s="1"/>
    </row>
    <row r="32" spans="1:20">
      <c r="B32" s="3" t="s">
        <v>16</v>
      </c>
      <c r="C32" s="55">
        <v>1250000</v>
      </c>
      <c r="D32" s="55">
        <v>1000000</v>
      </c>
      <c r="E32" s="55">
        <f>C32-D32</f>
        <v>250000</v>
      </c>
      <c r="F32" s="10"/>
      <c r="G32" s="1"/>
      <c r="H32" s="1"/>
      <c r="I32" s="10"/>
      <c r="J32" s="25"/>
      <c r="K32" s="25"/>
      <c r="L32" s="25"/>
      <c r="Q32" s="1"/>
    </row>
    <row r="33" spans="2:17">
      <c r="B33" s="49" t="s">
        <v>34</v>
      </c>
      <c r="C33" s="50">
        <v>-500000</v>
      </c>
      <c r="D33" s="50">
        <v>-400000</v>
      </c>
      <c r="E33" s="50">
        <v>-100000</v>
      </c>
      <c r="F33" s="10"/>
      <c r="G33" s="1"/>
      <c r="H33" s="1"/>
      <c r="I33" s="10"/>
      <c r="J33" s="25"/>
      <c r="K33" s="25"/>
      <c r="L33" s="25"/>
      <c r="Q33" s="1"/>
    </row>
    <row r="34" spans="2:17">
      <c r="B34" s="60" t="s">
        <v>36</v>
      </c>
      <c r="C34" s="61">
        <f>C32+C33</f>
        <v>750000</v>
      </c>
      <c r="D34" s="61">
        <f t="shared" ref="D34:E34" si="0">D32+D33</f>
        <v>600000</v>
      </c>
      <c r="E34" s="61">
        <f t="shared" si="0"/>
        <v>150000</v>
      </c>
      <c r="F34" s="40"/>
      <c r="G34" s="1"/>
      <c r="H34" s="1"/>
      <c r="I34" s="40"/>
      <c r="J34" s="25"/>
      <c r="K34" s="25"/>
      <c r="L34" s="25"/>
      <c r="Q34" s="1"/>
    </row>
    <row r="35" spans="2:17">
      <c r="B35" s="3" t="s">
        <v>38</v>
      </c>
      <c r="C35" s="48">
        <v>-900000</v>
      </c>
      <c r="D35" s="48">
        <v>-780000</v>
      </c>
      <c r="E35" s="48">
        <v>-120000</v>
      </c>
      <c r="F35" s="10"/>
      <c r="G35" s="1"/>
      <c r="H35" s="1"/>
      <c r="I35" s="10"/>
      <c r="J35" s="25"/>
      <c r="K35" s="25"/>
      <c r="L35" s="25"/>
      <c r="Q35" s="1"/>
    </row>
    <row r="36" spans="2:17" ht="15.75" thickBot="1">
      <c r="B36" s="51" t="s">
        <v>2</v>
      </c>
      <c r="C36" s="52">
        <f>C34+C35</f>
        <v>-150000</v>
      </c>
      <c r="D36" s="52">
        <f t="shared" ref="D36:E36" si="1">D34+D35</f>
        <v>-180000</v>
      </c>
      <c r="E36" s="52">
        <f t="shared" si="1"/>
        <v>30000</v>
      </c>
      <c r="F36" s="40"/>
      <c r="G36" s="1"/>
      <c r="H36" s="1"/>
      <c r="I36" s="1"/>
      <c r="J36" s="25"/>
      <c r="K36" s="25"/>
      <c r="L36" s="25"/>
      <c r="Q36" s="1"/>
    </row>
    <row r="37" spans="2:17" ht="15.75" thickBot="1">
      <c r="B37" s="55"/>
      <c r="C37" s="55"/>
      <c r="E37" s="12"/>
      <c r="I37" s="1"/>
    </row>
    <row r="38" spans="2:17" ht="15.75" thickBot="1">
      <c r="B38" s="54" t="s">
        <v>41</v>
      </c>
      <c r="C38" s="59" t="s">
        <v>32</v>
      </c>
    </row>
    <row r="39" spans="2:17">
      <c r="B39" s="57" t="s">
        <v>33</v>
      </c>
      <c r="C39" s="55">
        <f>D36</f>
        <v>-180000</v>
      </c>
    </row>
    <row r="40" spans="2:17">
      <c r="B40" s="62" t="s">
        <v>35</v>
      </c>
      <c r="C40" s="63">
        <f>E32</f>
        <v>250000</v>
      </c>
    </row>
    <row r="41" spans="2:17">
      <c r="B41" s="66" t="s">
        <v>37</v>
      </c>
      <c r="C41" s="11">
        <f>E33</f>
        <v>-100000</v>
      </c>
    </row>
    <row r="42" spans="2:17">
      <c r="B42" s="64" t="s">
        <v>39</v>
      </c>
      <c r="C42" s="65">
        <f>E35</f>
        <v>-120000</v>
      </c>
    </row>
    <row r="43" spans="2:17">
      <c r="B43" s="58" t="s">
        <v>42</v>
      </c>
      <c r="C43" s="44">
        <f>SUM(C39:C42)</f>
        <v>-150000</v>
      </c>
    </row>
    <row r="44" spans="2:17">
      <c r="B44" s="12"/>
    </row>
    <row r="45" spans="2:17" ht="18.75" customHeight="1">
      <c r="B45" s="72" t="s">
        <v>43</v>
      </c>
      <c r="C45" s="72"/>
      <c r="D45" s="72"/>
      <c r="E45" s="72"/>
      <c r="F45" s="72"/>
      <c r="G45" s="72"/>
      <c r="H45" s="72"/>
      <c r="I45" s="72"/>
    </row>
    <row r="47" spans="2:17" ht="18.75">
      <c r="B47" s="88" t="s">
        <v>44</v>
      </c>
      <c r="C47" s="89"/>
      <c r="D47" s="89"/>
      <c r="E47" s="89"/>
      <c r="F47" s="89"/>
      <c r="G47" s="89"/>
      <c r="H47" s="89"/>
      <c r="I47" s="89"/>
      <c r="J47" s="24"/>
      <c r="K47" s="24"/>
      <c r="L47" s="24"/>
      <c r="M47" s="24"/>
      <c r="N47" s="24"/>
      <c r="O47" s="24"/>
      <c r="P47" s="24"/>
      <c r="Q47" s="24"/>
    </row>
    <row r="48" spans="2:17" ht="9" customHeight="1"/>
    <row r="49" spans="2:17">
      <c r="B49" s="67" t="s">
        <v>45</v>
      </c>
    </row>
    <row r="50" spans="2:17" ht="36" customHeight="1">
      <c r="B50" s="71" t="s">
        <v>46</v>
      </c>
      <c r="C50" s="71"/>
      <c r="D50" s="71"/>
      <c r="E50" s="71"/>
      <c r="F50" s="71"/>
      <c r="G50" s="71"/>
      <c r="H50" s="71"/>
      <c r="I50" s="71"/>
    </row>
    <row r="51" spans="2:17" ht="10.5" customHeight="1">
      <c r="B51" s="69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</row>
    <row r="52" spans="2:17">
      <c r="B52" s="67" t="s">
        <v>51</v>
      </c>
    </row>
    <row r="53" spans="2:17">
      <c r="B53" s="3" t="s">
        <v>52</v>
      </c>
    </row>
    <row r="54" spans="2:17">
      <c r="B54" s="3" t="s">
        <v>53</v>
      </c>
    </row>
    <row r="55" spans="2:17">
      <c r="B55" s="3" t="s">
        <v>54</v>
      </c>
    </row>
    <row r="56" spans="2:17">
      <c r="B56" s="3" t="s">
        <v>55</v>
      </c>
    </row>
    <row r="57" spans="2:17" ht="6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17">
      <c r="B58" s="66" t="s">
        <v>56</v>
      </c>
    </row>
    <row r="59" spans="2:17">
      <c r="B59" s="3" t="s">
        <v>57</v>
      </c>
    </row>
    <row r="60" spans="2:17">
      <c r="B60" s="70" t="s">
        <v>58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</row>
    <row r="61" spans="2:17">
      <c r="B61" s="70" t="s">
        <v>59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</row>
    <row r="62" spans="2:17" ht="8.25" customHeight="1">
      <c r="B62" s="70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</row>
    <row r="63" spans="2:17">
      <c r="B63" s="70" t="s">
        <v>60</v>
      </c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</row>
    <row r="64" spans="2:17">
      <c r="B64" s="70" t="s">
        <v>61</v>
      </c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</row>
    <row r="65" spans="2:17">
      <c r="B65" s="70" t="s">
        <v>62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</row>
    <row r="66" spans="2:17" ht="9" customHeight="1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</row>
    <row r="67" spans="2:17">
      <c r="B67" s="3" t="s">
        <v>63</v>
      </c>
    </row>
    <row r="68" spans="2:17">
      <c r="B68" s="3" t="s">
        <v>64</v>
      </c>
    </row>
    <row r="69" spans="2:17">
      <c r="B69" s="3" t="s">
        <v>65</v>
      </c>
    </row>
    <row r="70" spans="2:17">
      <c r="B70" s="3" t="s">
        <v>66</v>
      </c>
    </row>
    <row r="71" spans="2:17" ht="8.25" customHeight="1"/>
    <row r="72" spans="2:17">
      <c r="B72" s="3" t="s">
        <v>67</v>
      </c>
    </row>
    <row r="73" spans="2:17">
      <c r="B73" s="3" t="s">
        <v>68</v>
      </c>
    </row>
    <row r="74" spans="2:17">
      <c r="B74" s="3" t="s">
        <v>69</v>
      </c>
    </row>
    <row r="75" spans="2:17" ht="8.25" customHeight="1"/>
    <row r="76" spans="2:17">
      <c r="B76" s="3" t="s">
        <v>70</v>
      </c>
    </row>
    <row r="77" spans="2:17">
      <c r="B77" s="3" t="s">
        <v>71</v>
      </c>
    </row>
  </sheetData>
  <mergeCells count="26">
    <mergeCell ref="B18:I18"/>
    <mergeCell ref="B8:I8"/>
    <mergeCell ref="B6:I6"/>
    <mergeCell ref="B3:I3"/>
    <mergeCell ref="B4:I4"/>
    <mergeCell ref="B11:C11"/>
    <mergeCell ref="F11:G11"/>
    <mergeCell ref="H11:I11"/>
    <mergeCell ref="D11:E11"/>
    <mergeCell ref="H15:I15"/>
    <mergeCell ref="F15:G15"/>
    <mergeCell ref="B10:C10"/>
    <mergeCell ref="F10:G10"/>
    <mergeCell ref="H10:I10"/>
    <mergeCell ref="D10:E10"/>
    <mergeCell ref="B14:C14"/>
    <mergeCell ref="B15:C15"/>
    <mergeCell ref="D14:E14"/>
    <mergeCell ref="D15:E15"/>
    <mergeCell ref="H14:I14"/>
    <mergeCell ref="F14:G14"/>
    <mergeCell ref="B47:I47"/>
    <mergeCell ref="B50:I50"/>
    <mergeCell ref="B45:I45"/>
    <mergeCell ref="B29:I29"/>
    <mergeCell ref="B27:I27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Dashborad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</dc:creator>
  <cp:lastModifiedBy>Atharv</cp:lastModifiedBy>
  <dcterms:created xsi:type="dcterms:W3CDTF">2026-03-28T21:53:36Z</dcterms:created>
  <dcterms:modified xsi:type="dcterms:W3CDTF">2026-03-29T13:40:45Z</dcterms:modified>
</cp:coreProperties>
</file>