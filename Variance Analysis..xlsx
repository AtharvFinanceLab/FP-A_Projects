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P&amp;A\"/>
    </mc:Choice>
  </mc:AlternateContent>
  <bookViews>
    <workbookView xWindow="0" yWindow="0" windowWidth="20490" windowHeight="7620"/>
  </bookViews>
  <sheets>
    <sheet name="Variance Analysis" sheetId="2" r:id="rId1"/>
    <sheet name="Assumption" sheetId="1" r:id="rId2"/>
  </sheets>
  <calcPr calcId="162913" iterate="1" iterateCount="1000" iterateDelta="0.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12" i="2"/>
  <c r="H11" i="2" l="1"/>
  <c r="H14" i="2"/>
  <c r="H13" i="2"/>
  <c r="H12" i="2"/>
  <c r="H9" i="2"/>
  <c r="H10" i="2"/>
  <c r="H8" i="2"/>
  <c r="D13" i="2"/>
  <c r="C13" i="2"/>
  <c r="D12" i="2"/>
  <c r="C9" i="2"/>
  <c r="D9" i="2"/>
  <c r="C10" i="2"/>
  <c r="D10" i="2"/>
  <c r="D8" i="2"/>
  <c r="I9" i="2" l="1"/>
  <c r="K9" i="2" s="1"/>
  <c r="D14" i="2"/>
  <c r="I8" i="2"/>
  <c r="D11" i="2"/>
  <c r="E9" i="2"/>
  <c r="E12" i="2"/>
  <c r="I13" i="2"/>
  <c r="J13" i="2" s="1"/>
  <c r="I10" i="2"/>
  <c r="K10" i="2" s="1"/>
  <c r="K8" i="2"/>
  <c r="C11" i="2"/>
  <c r="E13" i="2"/>
  <c r="E10" i="2"/>
  <c r="E8" i="2"/>
  <c r="C53" i="2" s="1"/>
  <c r="I12" i="2"/>
  <c r="C14" i="2"/>
  <c r="E18" i="1"/>
  <c r="D18" i="1"/>
  <c r="C18" i="1"/>
  <c r="E12" i="1"/>
  <c r="D12" i="1"/>
  <c r="C12" i="1"/>
  <c r="K13" i="2" l="1"/>
  <c r="F9" i="2"/>
  <c r="D55" i="2" s="1"/>
  <c r="C55" i="2"/>
  <c r="J8" i="2"/>
  <c r="D56" i="2" s="1"/>
  <c r="C56" i="2"/>
  <c r="J9" i="2"/>
  <c r="G9" i="2"/>
  <c r="F12" i="2"/>
  <c r="D54" i="2" s="1"/>
  <c r="C54" i="2"/>
  <c r="G12" i="2"/>
  <c r="I11" i="2"/>
  <c r="K11" i="2" s="1"/>
  <c r="J10" i="2"/>
  <c r="K12" i="2"/>
  <c r="J12" i="2"/>
  <c r="G10" i="2"/>
  <c r="E11" i="2"/>
  <c r="F10" i="2"/>
  <c r="E14" i="2"/>
  <c r="I14" i="2"/>
  <c r="G8" i="2"/>
  <c r="F8" i="2"/>
  <c r="D53" i="2" s="1"/>
  <c r="G13" i="2"/>
  <c r="F13" i="2"/>
  <c r="J11" i="2" l="1"/>
  <c r="K14" i="2"/>
  <c r="J14" i="2"/>
  <c r="G14" i="2"/>
  <c r="F14" i="2"/>
  <c r="G11" i="2"/>
  <c r="F11" i="2"/>
</calcChain>
</file>

<file path=xl/sharedStrings.xml><?xml version="1.0" encoding="utf-8"?>
<sst xmlns="http://schemas.openxmlformats.org/spreadsheetml/2006/main" count="98" uniqueCount="89">
  <si>
    <t>Task: Analyze Q4 2025 performance for TechFlow Inc.</t>
  </si>
  <si>
    <t xml:space="preserve"> Build a Variance Analysis Table</t>
  </si>
  <si>
    <t>Q4 2025 Financial Data</t>
  </si>
  <si>
    <t>Line Item</t>
  </si>
  <si>
    <t>Actual</t>
  </si>
  <si>
    <t>Budget</t>
  </si>
  <si>
    <t>Latest Forecast</t>
  </si>
  <si>
    <t>Revenue</t>
  </si>
  <si>
    <t>Cost of Goods Sold</t>
  </si>
  <si>
    <t>Gross Profit</t>
  </si>
  <si>
    <t>Gross Margin %</t>
  </si>
  <si>
    <t>Sales &amp; Marketing</t>
  </si>
  <si>
    <t>Research &amp; Development</t>
  </si>
  <si>
    <t>General &amp; Administrative</t>
  </si>
  <si>
    <t>Total Operating Expenses</t>
  </si>
  <si>
    <t>EBITDA</t>
  </si>
  <si>
    <t>EBITDA Margin %</t>
  </si>
  <si>
    <t>Questions:</t>
  </si>
  <si>
    <t>1. What is the most significant variance you see? Is it favorable or unfavorable?</t>
  </si>
  <si>
    <t>2. Revenue beat budget by 25% - is this good news? What questions would you ask?</t>
  </si>
  <si>
    <t>3. EBITDA improved vs budget but is still negative. What's your assessment?</t>
  </si>
  <si>
    <t>4. Which variance should management focus on first? Why?</t>
  </si>
  <si>
    <t>5. If you had 2 minutes with the CFO, what would you tell them about Q4?</t>
  </si>
  <si>
    <t xml:space="preserve"> Variance Analysis with Commentary</t>
  </si>
  <si>
    <t xml:space="preserve"> Variance Analysis of  TechFlow Inc.</t>
  </si>
  <si>
    <t>Var vs Budget ($)</t>
  </si>
  <si>
    <t>Fav/Unfav</t>
  </si>
  <si>
    <t>Var vs Forecast ($)</t>
  </si>
  <si>
    <t>Var vs Forecast (%)</t>
  </si>
  <si>
    <t xml:space="preserve">Line Item </t>
  </si>
  <si>
    <t>Acutal</t>
  </si>
  <si>
    <t>Var vd Budget (%)</t>
  </si>
  <si>
    <t>COGS</t>
  </si>
  <si>
    <t>Total OpEx</t>
  </si>
  <si>
    <t>Key Variance Insights</t>
  </si>
  <si>
    <t>1. Revenue Performance - FAVORABLE</t>
  </si>
  <si>
    <t xml:space="preserve"> Revenue of $1.25M exceeded budget by $250K (25%) and beat forecast by $100K (9%).</t>
  </si>
  <si>
    <t xml:space="preserve"> This is the most significant positive variance. The 25% beat vs budget suggests either conservative planning or strong execution.</t>
  </si>
  <si>
    <t xml:space="preserve"> Validate sustainability before increasing expense commitments. Could be one-time factors (year-end deals, pull-forward).</t>
  </si>
  <si>
    <t xml:space="preserve"> No action needed on COGS - the variance is due to favorable volume, not unfavorable rate</t>
  </si>
  <si>
    <t>3. Operating Expenses - UNFAVORABLE</t>
  </si>
  <si>
    <t>2. Cost of Good Sold - UNFAVORABLE</t>
  </si>
  <si>
    <t>Total OpEx of  $900K exceeded budget by $120K (15%) and exceed forecast by $37.5K (4%).</t>
  </si>
  <si>
    <t>OpEx grew faster than revenue as % of revenue - Budget: 78%, Actual: 72%, an improvement but still high.</t>
  </si>
  <si>
    <t xml:space="preserve"> COGS of $500K exceeded budget by $100K (25%) and beat forecast by $40K (9%).</t>
  </si>
  <si>
    <t xml:space="preserve"> COGS grew proportionally with revenue  (both +25% vs budget), maintaing 60% gross margin.</t>
  </si>
  <si>
    <t>This is the #1 management focus area. OpEx discipline needed to reach ptofitability.</t>
  </si>
  <si>
    <t>EBITDA of -$150K improved vs budget by $30K (17%) and vs forecast by $22.5K (13%)</t>
  </si>
  <si>
    <t>Revenue outperformance (+$250K gross profit) partially offset by OpEx overrun (-120K).</t>
  </si>
  <si>
    <t>Path to profitability requires either 20% revenue growth or 17% OpEx reduction (150K/ 900K)</t>
  </si>
  <si>
    <t>#</t>
  </si>
  <si>
    <t>Executive Summary (2-Minute CFO Briefing)</t>
  </si>
  <si>
    <t>Talking Points:</t>
  </si>
  <si>
    <t>• HEADLINE: Q4 2025 EBITDA improved $30K vs budget to -$150K, driven by strong revenue partially offset by OpEx overrun</t>
  </si>
  <si>
    <t>• REVENUE BEAT: $1.25M actual vs $1M budget (+25%, +$250K) - Need to validate if sustainable or one-time</t>
  </si>
  <si>
    <t>• MARGIN PERFORMANCE: Gross margin held at 60% despite revenue growth, showing good cost discipline at COGS level</t>
  </si>
  <si>
    <t>• OPEX CONCERN: $900K actual vs $780K budget (+15%, +$120K) - Primary focus area for profitability path</t>
  </si>
  <si>
    <t>• PROFITABILITY GAP: Still -$150K EBITDA loss. Need either $150K OpEx reduction (17%) or $250K revenue increase (20%)</t>
  </si>
  <si>
    <t>• vs FORECAST: Beat forecast by $22.5K on EBITDA, suggesting momentum vs recent projections</t>
  </si>
  <si>
    <t>• KEY QUESTION: What's driving the OpEx overrun? Is it growth investments (acceptable) or cost creep (unacceptable)?</t>
  </si>
  <si>
    <t>• ACTION ITEMS: (1) Revenue driver analysis (2) OpEx deep-dive by category (3) Updated profitability roadmap</t>
  </si>
  <si>
    <t>• INTERVIEW ANGLE: Show you understand both the positive (revenue) and concerning (OpEx) elements, and can bridge to action</t>
  </si>
  <si>
    <t xml:space="preserve">4. EBITDA Performance - FAVORABLE </t>
  </si>
  <si>
    <t>Materiality Analysis: What to Focus On</t>
  </si>
  <si>
    <t>Variance Item</t>
  </si>
  <si>
    <t>% Variance</t>
  </si>
  <si>
    <t>Materiality</t>
  </si>
  <si>
    <t>Priority</t>
  </si>
  <si>
    <t>$Variance</t>
  </si>
  <si>
    <t>High - Path to profitability</t>
  </si>
  <si>
    <t>Medium - Proportional to revenue</t>
  </si>
  <si>
    <t>2 - Check sustainability</t>
  </si>
  <si>
    <t>Revenue VS Budget</t>
  </si>
  <si>
    <t>OpEx Vs Budget</t>
  </si>
  <si>
    <t>COGS VS Budget</t>
  </si>
  <si>
    <t>Revenue Vs Forecast</t>
  </si>
  <si>
    <t>High - Largest $ Variance</t>
  </si>
  <si>
    <t>1- Validate drivers</t>
  </si>
  <si>
    <t>1- Control Spending</t>
  </si>
  <si>
    <t>Medidum - Recent beat</t>
  </si>
  <si>
    <t>3- Monitor only</t>
  </si>
  <si>
    <t>1. Revenue Deep-Dive: Conduct volume/price/mix analysis to understand $250K budget beat. Was it new customers, upsells, or pricing?</t>
  </si>
  <si>
    <t>2. OpEx Category Review: Break down $120K OpEx overrun by department (Sales, Marketing, G&amp;A, R&amp;D) to identify control opportunities</t>
  </si>
  <si>
    <t>3. Forecast Accuracy Check: Investigate why forecast was $150K below actual revenue. Improve forecasting process for next year</t>
  </si>
  <si>
    <t>4. Profitability Roadmap: Model scenarios to reach breakeven: (A) 17% OpEx reduction or (B) 20% revenue increase with stable margins</t>
  </si>
  <si>
    <t>5. COGS Scalability: While margins held at 60%, verify COGS can maintain this rate at higher volumes for next year planning</t>
  </si>
  <si>
    <t>6. Monthly Variance Tracking: Implement monthly variance reviews (not just quarterly) to catch OpEx trends earlier</t>
  </si>
  <si>
    <t>7. Executive Dashboard: Create one-page KPI dashboard with revenue, GM%, OpEx%, EBITDA for weekly leadership review</t>
  </si>
  <si>
    <t>Action Item for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</si>
</sst>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0.00;\(#,##0.00\)"/>
  </numFmts>
  <fonts count="20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rgb="FFFFFFFF"/>
      <name val="Aptos Narrow"/>
      <family val="2"/>
    </font>
    <font>
      <i/>
      <sz val="11"/>
      <color theme="0" tint="-0.499984740745262"/>
      <name val="Calibri"/>
      <family val="2"/>
    </font>
    <font>
      <b/>
      <sz val="11"/>
      <name val="Aptos Narrow"/>
      <family val="2"/>
    </font>
    <font>
      <sz val="1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2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6D86E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 style="thick">
        <color theme="0"/>
      </right>
      <top style="hair">
        <color rgb="FF002060"/>
      </top>
      <bottom style="hair">
        <color rgb="FF002060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n">
        <color rgb="FF002060"/>
      </top>
      <bottom/>
      <diagonal/>
    </border>
    <border>
      <left style="thick">
        <color theme="0"/>
      </left>
      <right style="thick">
        <color theme="0"/>
      </right>
      <top style="thin">
        <color rgb="FF002060"/>
      </top>
      <bottom/>
      <diagonal/>
    </border>
    <border>
      <left style="thick">
        <color theme="0"/>
      </left>
      <right style="thick">
        <color theme="0"/>
      </right>
      <top style="hair">
        <color rgb="FF002060"/>
      </top>
      <bottom style="hair">
        <color rgb="FF00206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 style="thin">
        <color rgb="FF002060"/>
      </top>
      <bottom style="thin">
        <color rgb="FF002060"/>
      </bottom>
      <diagonal/>
    </border>
    <border>
      <left/>
      <right style="thick">
        <color theme="0"/>
      </right>
      <top style="hair">
        <color rgb="FF002060"/>
      </top>
      <bottom style="thin">
        <color rgb="FF002060"/>
      </bottom>
      <diagonal/>
    </border>
    <border>
      <left/>
      <right style="thick">
        <color theme="0"/>
      </right>
      <top/>
      <bottom style="hair">
        <color rgb="FF002060"/>
      </bottom>
      <diagonal/>
    </border>
    <border>
      <left style="thick">
        <color theme="0"/>
      </left>
      <right style="thick">
        <color theme="0"/>
      </right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top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164" fontId="5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6" fillId="0" borderId="0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Fill="1"/>
    <xf numFmtId="0" fontId="8" fillId="0" borderId="0" xfId="0" applyFont="1" applyAlignment="1">
      <alignment horizontal="right"/>
    </xf>
    <xf numFmtId="0" fontId="12" fillId="4" borderId="0" xfId="0" applyFont="1" applyFill="1"/>
    <xf numFmtId="0" fontId="12" fillId="4" borderId="0" xfId="0" applyFont="1" applyFill="1" applyAlignment="1">
      <alignment horizontal="right"/>
    </xf>
    <xf numFmtId="0" fontId="4" fillId="4" borderId="0" xfId="0" applyFont="1" applyFill="1" applyAlignment="1">
      <alignment horizontal="center" vertical="center"/>
    </xf>
    <xf numFmtId="0" fontId="6" fillId="4" borderId="1" xfId="0" applyFont="1" applyFill="1" applyBorder="1"/>
    <xf numFmtId="0" fontId="8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18" fillId="0" borderId="0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horizontal="right" vertical="top"/>
    </xf>
    <xf numFmtId="0" fontId="8" fillId="0" borderId="0" xfId="0" applyFont="1" applyAlignment="1">
      <alignment vertical="top"/>
    </xf>
    <xf numFmtId="0" fontId="7" fillId="0" borderId="1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8" fillId="0" borderId="3" xfId="0" applyFont="1" applyBorder="1"/>
    <xf numFmtId="0" fontId="5" fillId="0" borderId="3" xfId="0" applyFont="1" applyFill="1" applyBorder="1" applyAlignment="1">
      <alignment horizontal="left" vertical="top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 applyAlignment="1">
      <alignment horizontal="right"/>
    </xf>
    <xf numFmtId="165" fontId="8" fillId="0" borderId="7" xfId="0" applyNumberFormat="1" applyFont="1" applyBorder="1" applyAlignment="1">
      <alignment horizontal="right"/>
    </xf>
    <xf numFmtId="165" fontId="5" fillId="0" borderId="7" xfId="0" applyNumberFormat="1" applyFont="1" applyFill="1" applyBorder="1" applyAlignment="1">
      <alignment horizontal="right"/>
    </xf>
    <xf numFmtId="10" fontId="5" fillId="0" borderId="7" xfId="1" applyNumberFormat="1" applyFont="1" applyFill="1" applyBorder="1" applyAlignment="1">
      <alignment horizontal="right"/>
    </xf>
    <xf numFmtId="10" fontId="8" fillId="0" borderId="7" xfId="1" applyNumberFormat="1" applyFont="1" applyBorder="1" applyAlignment="1">
      <alignment horizontal="right"/>
    </xf>
    <xf numFmtId="10" fontId="13" fillId="0" borderId="3" xfId="1" applyNumberFormat="1" applyFont="1" applyFill="1" applyBorder="1" applyAlignment="1">
      <alignment horizontal="left" vertical="top"/>
    </xf>
    <xf numFmtId="165" fontId="5" fillId="0" borderId="7" xfId="0" applyNumberFormat="1" applyFont="1" applyFill="1" applyBorder="1" applyAlignment="1">
      <alignment horizontal="right" vertical="top"/>
    </xf>
    <xf numFmtId="10" fontId="8" fillId="0" borderId="7" xfId="1" applyNumberFormat="1" applyFont="1" applyFill="1" applyBorder="1" applyAlignment="1">
      <alignment horizontal="right" vertical="top"/>
    </xf>
    <xf numFmtId="10" fontId="13" fillId="0" borderId="7" xfId="1" applyNumberFormat="1" applyFont="1" applyFill="1" applyBorder="1" applyAlignment="1">
      <alignment horizontal="right" vertical="top"/>
    </xf>
    <xf numFmtId="165" fontId="5" fillId="0" borderId="3" xfId="0" applyNumberFormat="1" applyFont="1" applyFill="1" applyBorder="1" applyAlignment="1">
      <alignment horizontal="right" vertical="top"/>
    </xf>
    <xf numFmtId="10" fontId="8" fillId="0" borderId="3" xfId="1" applyNumberFormat="1" applyFont="1" applyFill="1" applyBorder="1" applyAlignment="1">
      <alignment horizontal="right" vertical="top"/>
    </xf>
    <xf numFmtId="10" fontId="13" fillId="0" borderId="3" xfId="1" applyNumberFormat="1" applyFont="1" applyFill="1" applyBorder="1" applyAlignment="1">
      <alignment horizontal="right" vertical="top"/>
    </xf>
    <xf numFmtId="10" fontId="5" fillId="0" borderId="7" xfId="1" applyNumberFormat="1" applyFont="1" applyFill="1" applyBorder="1" applyAlignment="1">
      <alignment horizontal="right" vertical="top"/>
    </xf>
    <xf numFmtId="10" fontId="5" fillId="0" borderId="3" xfId="1" applyNumberFormat="1" applyFont="1" applyFill="1" applyBorder="1" applyAlignment="1">
      <alignment horizontal="right" vertical="top"/>
    </xf>
    <xf numFmtId="10" fontId="5" fillId="0" borderId="7" xfId="0" applyNumberFormat="1" applyFont="1" applyFill="1" applyBorder="1" applyAlignment="1">
      <alignment horizontal="right" vertical="top"/>
    </xf>
    <xf numFmtId="0" fontId="12" fillId="4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5" fillId="0" borderId="11" xfId="0" applyFont="1" applyFill="1" applyBorder="1" applyAlignment="1">
      <alignment horizontal="left" vertical="top"/>
    </xf>
    <xf numFmtId="165" fontId="5" fillId="0" borderId="12" xfId="0" applyNumberFormat="1" applyFont="1" applyFill="1" applyBorder="1" applyAlignment="1">
      <alignment horizontal="right" vertical="top"/>
    </xf>
    <xf numFmtId="165" fontId="5" fillId="0" borderId="11" xfId="0" applyNumberFormat="1" applyFont="1" applyFill="1" applyBorder="1" applyAlignment="1">
      <alignment horizontal="right" vertical="top"/>
    </xf>
    <xf numFmtId="10" fontId="5" fillId="0" borderId="12" xfId="1" applyNumberFormat="1" applyFont="1" applyFill="1" applyBorder="1" applyAlignment="1">
      <alignment horizontal="right" vertical="top"/>
    </xf>
    <xf numFmtId="0" fontId="8" fillId="0" borderId="14" xfId="0" applyFont="1" applyBorder="1"/>
    <xf numFmtId="0" fontId="8" fillId="0" borderId="13" xfId="0" applyFont="1" applyBorder="1"/>
    <xf numFmtId="0" fontId="8" fillId="0" borderId="10" xfId="0" applyFont="1" applyBorder="1"/>
    <xf numFmtId="0" fontId="7" fillId="0" borderId="9" xfId="0" applyFont="1" applyFill="1" applyBorder="1" applyAlignment="1">
      <alignment horizontal="center" vertical="top"/>
    </xf>
    <xf numFmtId="0" fontId="8" fillId="0" borderId="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1" xfId="0" applyFont="1" applyBorder="1"/>
    <xf numFmtId="165" fontId="8" fillId="0" borderId="12" xfId="0" applyNumberFormat="1" applyFont="1" applyBorder="1" applyAlignment="1">
      <alignment horizontal="right"/>
    </xf>
    <xf numFmtId="10" fontId="8" fillId="0" borderId="12" xfId="0" applyNumberFormat="1" applyFont="1" applyBorder="1" applyAlignment="1">
      <alignment horizontal="right"/>
    </xf>
    <xf numFmtId="0" fontId="8" fillId="0" borderId="12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 applyBorder="1"/>
    <xf numFmtId="165" fontId="8" fillId="0" borderId="8" xfId="0" applyNumberFormat="1" applyFont="1" applyBorder="1" applyAlignment="1">
      <alignment horizontal="right"/>
    </xf>
    <xf numFmtId="10" fontId="8" fillId="0" borderId="8" xfId="1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8" fillId="0" borderId="16" xfId="0" applyFont="1" applyBorder="1"/>
    <xf numFmtId="0" fontId="8" fillId="0" borderId="13" xfId="0" applyFont="1" applyBorder="1" applyAlignment="1"/>
    <xf numFmtId="0" fontId="10" fillId="0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/>
    <xf numFmtId="0" fontId="2" fillId="2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5" fillId="4" borderId="1" xfId="0" applyFont="1" applyFill="1" applyBorder="1" applyAlignment="1">
      <alignment horizontal="left" vertical="top"/>
    </xf>
    <xf numFmtId="0" fontId="12" fillId="9" borderId="0" xfId="0" applyFont="1" applyFill="1" applyAlignment="1">
      <alignment horizontal="left"/>
    </xf>
    <xf numFmtId="0" fontId="12" fillId="9" borderId="0" xfId="0" applyFont="1" applyFill="1" applyBorder="1" applyAlignment="1">
      <alignment horizontal="left"/>
    </xf>
    <xf numFmtId="0" fontId="12" fillId="9" borderId="4" xfId="0" applyFont="1" applyFill="1" applyBorder="1" applyAlignment="1">
      <alignment horizontal="left"/>
    </xf>
    <xf numFmtId="0" fontId="12" fillId="7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16" fillId="4" borderId="1" xfId="0" applyFont="1" applyFill="1" applyBorder="1" applyAlignment="1">
      <alignment horizontal="left"/>
    </xf>
    <xf numFmtId="0" fontId="16" fillId="4" borderId="9" xfId="0" applyFont="1" applyFill="1" applyBorder="1" applyAlignment="1">
      <alignment horizontal="left"/>
    </xf>
    <xf numFmtId="0" fontId="8" fillId="0" borderId="0" xfId="0" applyNumberFormat="1" applyFont="1" applyBorder="1" applyAlignment="1">
      <alignment vertical="top"/>
    </xf>
    <xf numFmtId="0" fontId="8" fillId="0" borderId="4" xfId="0" applyNumberFormat="1" applyFont="1" applyBorder="1" applyAlignment="1">
      <alignment vertical="top"/>
    </xf>
    <xf numFmtId="0" fontId="11" fillId="6" borderId="0" xfId="0" applyFont="1" applyFill="1" applyAlignment="1">
      <alignment horizontal="left" vertical="top"/>
    </xf>
    <xf numFmtId="0" fontId="10" fillId="5" borderId="18" xfId="0" applyFont="1" applyFill="1" applyBorder="1" applyAlignment="1">
      <alignment horizontal="center" vertical="top"/>
    </xf>
    <xf numFmtId="0" fontId="10" fillId="5" borderId="17" xfId="0" applyFont="1" applyFill="1" applyBorder="1" applyAlignment="1">
      <alignment horizontal="center" vertical="top"/>
    </xf>
    <xf numFmtId="0" fontId="17" fillId="5" borderId="1" xfId="0" applyFont="1" applyFill="1" applyBorder="1" applyAlignment="1">
      <alignment horizontal="center" vertical="top"/>
    </xf>
    <xf numFmtId="0" fontId="17" fillId="5" borderId="9" xfId="0" applyFont="1" applyFill="1" applyBorder="1" applyAlignment="1">
      <alignment horizontal="center" vertical="top"/>
    </xf>
    <xf numFmtId="0" fontId="8" fillId="5" borderId="0" xfId="0" applyFont="1" applyFill="1"/>
    <xf numFmtId="0" fontId="8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6D86E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D86E"/>
  </sheetPr>
  <dimension ref="A2:L68"/>
  <sheetViews>
    <sheetView showGridLines="0" tabSelected="1" workbookViewId="0">
      <selection activeCell="B7" sqref="B7"/>
    </sheetView>
  </sheetViews>
  <sheetFormatPr defaultRowHeight="15"/>
  <cols>
    <col min="1" max="1" width="1.85546875" style="10" customWidth="1"/>
    <col min="2" max="2" width="19" style="10" bestFit="1" customWidth="1"/>
    <col min="3" max="4" width="13.140625" style="10" customWidth="1"/>
    <col min="5" max="5" width="32" style="10" bestFit="1" customWidth="1"/>
    <col min="6" max="6" width="21.5703125" style="10" bestFit="1" customWidth="1"/>
    <col min="7" max="7" width="13.42578125" style="10" customWidth="1"/>
    <col min="8" max="8" width="17.7109375" style="10" customWidth="1"/>
    <col min="9" max="9" width="20.140625" style="10" bestFit="1" customWidth="1"/>
    <col min="10" max="10" width="20.85546875" style="10" bestFit="1" customWidth="1"/>
    <col min="11" max="11" width="13.5703125" style="10" customWidth="1"/>
    <col min="12" max="16384" width="9.140625" style="10"/>
  </cols>
  <sheetData>
    <row r="2" spans="1:11">
      <c r="B2" s="9"/>
    </row>
    <row r="4" spans="1:11" ht="15.75">
      <c r="B4" s="90" t="s">
        <v>23</v>
      </c>
      <c r="C4" s="90"/>
      <c r="D4" s="90"/>
      <c r="E4" s="90"/>
      <c r="F4" s="90"/>
      <c r="G4" s="90"/>
      <c r="H4" s="90"/>
      <c r="I4" s="90"/>
      <c r="J4" s="90"/>
      <c r="K4" s="90"/>
    </row>
    <row r="5" spans="1:11" ht="18.75">
      <c r="B5" s="91" t="s">
        <v>24</v>
      </c>
      <c r="C5" s="91"/>
      <c r="D5" s="91"/>
      <c r="E5" s="91"/>
      <c r="F5" s="91"/>
      <c r="G5" s="91"/>
      <c r="H5" s="91"/>
      <c r="I5" s="91"/>
      <c r="J5" s="91"/>
      <c r="K5" s="92"/>
    </row>
    <row r="6" spans="1:11" ht="15.75">
      <c r="B6" s="14" t="s">
        <v>29</v>
      </c>
      <c r="C6" s="15" t="s">
        <v>30</v>
      </c>
      <c r="D6" s="15" t="s">
        <v>5</v>
      </c>
      <c r="E6" s="15" t="s">
        <v>25</v>
      </c>
      <c r="F6" s="15" t="s">
        <v>31</v>
      </c>
      <c r="G6" s="15" t="s">
        <v>26</v>
      </c>
      <c r="H6" s="15" t="s">
        <v>6</v>
      </c>
      <c r="I6" s="15" t="s">
        <v>27</v>
      </c>
      <c r="J6" s="15" t="s">
        <v>28</v>
      </c>
      <c r="K6" s="46" t="s">
        <v>26</v>
      </c>
    </row>
    <row r="7" spans="1:11" ht="4.5" customHeight="1">
      <c r="B7" s="11"/>
      <c r="C7" s="13"/>
      <c r="D7" s="13"/>
      <c r="E7" s="13"/>
      <c r="F7" s="13"/>
      <c r="G7" s="13"/>
      <c r="H7" s="13"/>
      <c r="I7" s="13"/>
      <c r="J7" s="13"/>
      <c r="K7" s="47"/>
    </row>
    <row r="8" spans="1:11">
      <c r="A8" s="12"/>
      <c r="B8" s="48" t="s">
        <v>7</v>
      </c>
      <c r="C8" s="49">
        <f>Assumption!C9</f>
        <v>1250000</v>
      </c>
      <c r="D8" s="49">
        <f>Assumption!D9</f>
        <v>1000000</v>
      </c>
      <c r="E8" s="50">
        <f>C8-D8</f>
        <v>250000</v>
      </c>
      <c r="F8" s="51">
        <f>E8/D8</f>
        <v>0.25</v>
      </c>
      <c r="G8" s="49" t="str">
        <f>IF(E8&gt;0,"Favorable","Unfavorable")</f>
        <v>Favorable</v>
      </c>
      <c r="H8" s="50">
        <f>Assumption!E9</f>
        <v>1150000</v>
      </c>
      <c r="I8" s="49">
        <f>C8-H8</f>
        <v>100000</v>
      </c>
      <c r="J8" s="51">
        <f>I8/H8</f>
        <v>8.6956521739130432E-2</v>
      </c>
      <c r="K8" s="50" t="str">
        <f>IF(I8&gt;0,"Favorable","Unfavorable")</f>
        <v>Favorable</v>
      </c>
    </row>
    <row r="9" spans="1:11">
      <c r="B9" s="27" t="s">
        <v>32</v>
      </c>
      <c r="C9" s="37">
        <f>Assumption!C10</f>
        <v>500000</v>
      </c>
      <c r="D9" s="37">
        <f>Assumption!D10</f>
        <v>400000</v>
      </c>
      <c r="E9" s="40">
        <f t="shared" ref="E9:E14" si="0">C9-D9</f>
        <v>100000</v>
      </c>
      <c r="F9" s="43">
        <f t="shared" ref="F9:F14" si="1">E9/D9</f>
        <v>0.25</v>
      </c>
      <c r="G9" s="37" t="str">
        <f>IF(E9&lt;0,"Favorable","Unfavorable")</f>
        <v>Unfavorable</v>
      </c>
      <c r="H9" s="40">
        <f>Assumption!E10</f>
        <v>460000</v>
      </c>
      <c r="I9" s="37">
        <f t="shared" ref="I9:I10" si="2">C9-H9</f>
        <v>40000</v>
      </c>
      <c r="J9" s="43">
        <f t="shared" ref="J9:J14" si="3">I9/H9</f>
        <v>8.6956521739130432E-2</v>
      </c>
      <c r="K9" s="40" t="str">
        <f>IF(I9&lt;0,"Favorable","Unfavorable")</f>
        <v>Unfavorable</v>
      </c>
    </row>
    <row r="10" spans="1:11">
      <c r="B10" s="27" t="s">
        <v>9</v>
      </c>
      <c r="C10" s="37">
        <f>Assumption!C11</f>
        <v>750000</v>
      </c>
      <c r="D10" s="37">
        <f>Assumption!D11</f>
        <v>600000</v>
      </c>
      <c r="E10" s="40">
        <f t="shared" si="0"/>
        <v>150000</v>
      </c>
      <c r="F10" s="43">
        <f t="shared" si="1"/>
        <v>0.25</v>
      </c>
      <c r="G10" s="37" t="str">
        <f t="shared" ref="G10:G11" si="4">IF(E10&gt;0,"Favorable","Unfavorable")</f>
        <v>Favorable</v>
      </c>
      <c r="H10" s="40">
        <f>Assumption!E11</f>
        <v>690000</v>
      </c>
      <c r="I10" s="37">
        <f t="shared" si="2"/>
        <v>60000</v>
      </c>
      <c r="J10" s="43">
        <f t="shared" si="3"/>
        <v>8.6956521739130432E-2</v>
      </c>
      <c r="K10" s="40" t="str">
        <f t="shared" ref="K10:K11" si="5">IF(I10&gt;0,"Favorable","Unfavorable")</f>
        <v>Favorable</v>
      </c>
    </row>
    <row r="11" spans="1:11">
      <c r="B11" s="27" t="s">
        <v>10</v>
      </c>
      <c r="C11" s="38">
        <f>C10/C8</f>
        <v>0.6</v>
      </c>
      <c r="D11" s="38">
        <f>D10/D8</f>
        <v>0.6</v>
      </c>
      <c r="E11" s="41">
        <f>E10/E8</f>
        <v>0.6</v>
      </c>
      <c r="F11" s="38">
        <f>E11/C11</f>
        <v>1</v>
      </c>
      <c r="G11" s="37" t="str">
        <f t="shared" si="4"/>
        <v>Favorable</v>
      </c>
      <c r="H11" s="44">
        <f>Assumption!E12</f>
        <v>0.6</v>
      </c>
      <c r="I11" s="45">
        <f>I10/I8</f>
        <v>0.6</v>
      </c>
      <c r="J11" s="43">
        <f t="shared" si="3"/>
        <v>1</v>
      </c>
      <c r="K11" s="40" t="str">
        <f t="shared" si="5"/>
        <v>Favorable</v>
      </c>
    </row>
    <row r="12" spans="1:11">
      <c r="B12" s="27" t="s">
        <v>33</v>
      </c>
      <c r="C12" s="37">
        <f>Assumption!C16</f>
        <v>900000</v>
      </c>
      <c r="D12" s="37">
        <f>Assumption!D16</f>
        <v>780000</v>
      </c>
      <c r="E12" s="40">
        <f t="shared" si="0"/>
        <v>120000</v>
      </c>
      <c r="F12" s="43">
        <f t="shared" si="1"/>
        <v>0.15384615384615385</v>
      </c>
      <c r="G12" s="37" t="str">
        <f>IF(E12&lt;0,"Favorable","Unfavorable")</f>
        <v>Unfavorable</v>
      </c>
      <c r="H12" s="40">
        <f>Assumption!E16</f>
        <v>862500</v>
      </c>
      <c r="I12" s="37">
        <f t="shared" ref="I12:I14" si="6">C12-H12</f>
        <v>37500</v>
      </c>
      <c r="J12" s="43">
        <f t="shared" si="3"/>
        <v>4.3478260869565216E-2</v>
      </c>
      <c r="K12" s="40" t="str">
        <f>IF(I12&lt;0,"Favorable","Unfavorable")</f>
        <v>Unfavorable</v>
      </c>
    </row>
    <row r="13" spans="1:11">
      <c r="B13" s="27" t="s">
        <v>15</v>
      </c>
      <c r="C13" s="37">
        <f>Assumption!C17</f>
        <v>-150000</v>
      </c>
      <c r="D13" s="37">
        <f>Assumption!D17</f>
        <v>-180000</v>
      </c>
      <c r="E13" s="40">
        <f t="shared" si="0"/>
        <v>30000</v>
      </c>
      <c r="F13" s="43">
        <f t="shared" si="1"/>
        <v>-0.16666666666666666</v>
      </c>
      <c r="G13" s="37" t="str">
        <f>IF(E13&gt;0,"Favorable","Unfavorable")</f>
        <v>Favorable</v>
      </c>
      <c r="H13" s="40">
        <f>Assumption!E17</f>
        <v>-172500</v>
      </c>
      <c r="I13" s="37">
        <f t="shared" si="6"/>
        <v>22500</v>
      </c>
      <c r="J13" s="43">
        <f t="shared" si="3"/>
        <v>-0.13043478260869565</v>
      </c>
      <c r="K13" s="40" t="str">
        <f>IF(I13&gt;0,"Favorable","Unfavorable")</f>
        <v>Favorable</v>
      </c>
    </row>
    <row r="14" spans="1:11">
      <c r="B14" s="36" t="s">
        <v>16</v>
      </c>
      <c r="C14" s="39">
        <f t="shared" ref="C14:D14" si="7">C13/C8</f>
        <v>-0.12</v>
      </c>
      <c r="D14" s="39">
        <f t="shared" si="7"/>
        <v>-0.18</v>
      </c>
      <c r="E14" s="42">
        <f t="shared" si="0"/>
        <v>0.06</v>
      </c>
      <c r="F14" s="38">
        <f t="shared" si="1"/>
        <v>-0.33333333333333331</v>
      </c>
      <c r="G14" s="37" t="str">
        <f>IF(E14&gt;0,"Favorable","Unfavorable")</f>
        <v>Favorable</v>
      </c>
      <c r="H14" s="42">
        <f>Assumption!E18</f>
        <v>-0.15</v>
      </c>
      <c r="I14" s="45">
        <f t="shared" si="6"/>
        <v>0.03</v>
      </c>
      <c r="J14" s="43">
        <f t="shared" si="3"/>
        <v>-0.2</v>
      </c>
      <c r="K14" s="40" t="str">
        <f t="shared" ref="K14" si="8">IF(I14&gt;0,"Favorable","Unfavorable")</f>
        <v>Favorable</v>
      </c>
    </row>
    <row r="15" spans="1:11">
      <c r="B15" s="52"/>
      <c r="C15" s="53"/>
      <c r="D15" s="52"/>
      <c r="E15" s="53"/>
      <c r="F15" s="52"/>
      <c r="H15" s="53"/>
      <c r="I15" s="52"/>
      <c r="J15" s="53"/>
      <c r="K15" s="54"/>
    </row>
    <row r="16" spans="1:11" ht="21">
      <c r="A16" s="10" t="s">
        <v>50</v>
      </c>
      <c r="B16" s="86" t="s">
        <v>34</v>
      </c>
      <c r="C16" s="86"/>
      <c r="D16" s="86"/>
      <c r="E16" s="86"/>
      <c r="F16" s="86"/>
      <c r="G16" s="86"/>
      <c r="H16" s="86"/>
      <c r="I16" s="86"/>
      <c r="J16" s="86"/>
      <c r="K16" s="87"/>
    </row>
    <row r="17" spans="2:11">
      <c r="K17" s="29"/>
    </row>
    <row r="18" spans="2:11" ht="15.75">
      <c r="B18" s="82" t="s">
        <v>35</v>
      </c>
      <c r="C18" s="82"/>
      <c r="D18" s="82"/>
      <c r="E18" s="82"/>
      <c r="F18" s="82"/>
      <c r="G18" s="82"/>
      <c r="H18" s="82"/>
      <c r="I18" s="82"/>
      <c r="J18" s="82"/>
      <c r="K18" s="83"/>
    </row>
    <row r="19" spans="2:11">
      <c r="B19" s="88" t="s">
        <v>36</v>
      </c>
      <c r="C19" s="88"/>
      <c r="D19" s="88"/>
      <c r="E19" s="88"/>
      <c r="F19" s="88"/>
      <c r="G19" s="88"/>
      <c r="H19" s="88"/>
      <c r="I19" s="88"/>
      <c r="J19" s="88"/>
      <c r="K19" s="89"/>
    </row>
    <row r="20" spans="2:11">
      <c r="B20" s="85" t="s">
        <v>37</v>
      </c>
      <c r="C20" s="85"/>
      <c r="D20" s="85"/>
      <c r="E20" s="85"/>
      <c r="F20" s="85"/>
      <c r="G20" s="85"/>
      <c r="H20" s="85"/>
      <c r="I20" s="85"/>
      <c r="J20" s="85"/>
      <c r="K20" s="85"/>
    </row>
    <row r="21" spans="2:11">
      <c r="B21" s="85" t="s">
        <v>38</v>
      </c>
      <c r="C21" s="85"/>
      <c r="D21" s="85"/>
      <c r="E21" s="85"/>
      <c r="F21" s="85"/>
      <c r="G21" s="85"/>
      <c r="H21" s="85"/>
      <c r="I21" s="85"/>
      <c r="J21" s="85"/>
      <c r="K21" s="85"/>
    </row>
    <row r="23" spans="2:11" ht="15.75">
      <c r="B23" s="84" t="s">
        <v>41</v>
      </c>
      <c r="C23" s="84"/>
      <c r="D23" s="84"/>
      <c r="E23" s="84"/>
      <c r="F23" s="84"/>
      <c r="G23" s="84"/>
      <c r="H23" s="84"/>
      <c r="I23" s="84"/>
      <c r="J23" s="84"/>
      <c r="K23" s="84"/>
    </row>
    <row r="24" spans="2:11" s="12" customFormat="1">
      <c r="B24" s="18" t="s">
        <v>44</v>
      </c>
      <c r="C24" s="19"/>
      <c r="D24" s="19"/>
      <c r="E24" s="19"/>
      <c r="F24" s="19"/>
      <c r="G24" s="19"/>
      <c r="H24" s="19"/>
      <c r="I24" s="19"/>
      <c r="J24" s="19"/>
      <c r="K24" s="19"/>
    </row>
    <row r="25" spans="2:11" s="12" customFormat="1">
      <c r="B25" s="18" t="s">
        <v>45</v>
      </c>
      <c r="C25" s="19"/>
      <c r="D25" s="19"/>
      <c r="E25" s="19"/>
      <c r="F25" s="19"/>
      <c r="G25" s="19"/>
      <c r="H25" s="19"/>
      <c r="I25" s="19"/>
      <c r="J25" s="19"/>
      <c r="K25" s="19"/>
    </row>
    <row r="26" spans="2:11" s="12" customFormat="1">
      <c r="B26" s="85" t="s">
        <v>39</v>
      </c>
      <c r="C26" s="85"/>
      <c r="D26" s="85"/>
      <c r="E26" s="85"/>
      <c r="F26" s="85"/>
      <c r="G26" s="85"/>
      <c r="H26" s="85"/>
      <c r="I26" s="85"/>
      <c r="J26" s="85"/>
      <c r="K26" s="85"/>
    </row>
    <row r="28" spans="2:11" ht="15.75">
      <c r="B28" s="84" t="s">
        <v>40</v>
      </c>
      <c r="C28" s="84"/>
      <c r="D28" s="84"/>
      <c r="E28" s="84"/>
      <c r="F28" s="84"/>
      <c r="G28" s="84"/>
      <c r="H28" s="84"/>
      <c r="I28" s="84"/>
      <c r="J28" s="84"/>
      <c r="K28" s="84"/>
    </row>
    <row r="29" spans="2:11">
      <c r="B29" s="10" t="s">
        <v>42</v>
      </c>
    </row>
    <row r="30" spans="2:11">
      <c r="B30" s="10" t="s">
        <v>43</v>
      </c>
    </row>
    <row r="31" spans="2:11">
      <c r="B31" s="10" t="s">
        <v>46</v>
      </c>
    </row>
    <row r="33" spans="1:12" ht="15.75">
      <c r="B33" s="81" t="s">
        <v>62</v>
      </c>
      <c r="C33" s="81"/>
      <c r="D33" s="81"/>
      <c r="E33" s="81"/>
      <c r="F33" s="81"/>
      <c r="G33" s="81"/>
      <c r="H33" s="81"/>
      <c r="I33" s="81"/>
      <c r="J33" s="81"/>
      <c r="K33" s="81"/>
    </row>
    <row r="34" spans="1:12">
      <c r="B34" s="10" t="s">
        <v>47</v>
      </c>
    </row>
    <row r="35" spans="1:12">
      <c r="B35" s="10" t="s">
        <v>48</v>
      </c>
    </row>
    <row r="36" spans="1:12">
      <c r="B36" s="10" t="s">
        <v>49</v>
      </c>
    </row>
    <row r="38" spans="1:12" ht="21">
      <c r="A38" s="72"/>
      <c r="B38" s="77" t="s">
        <v>51</v>
      </c>
      <c r="C38" s="77"/>
      <c r="D38" s="77"/>
      <c r="E38" s="77"/>
      <c r="F38" s="77"/>
      <c r="G38" s="77"/>
      <c r="H38" s="77"/>
      <c r="I38" s="77"/>
      <c r="J38" s="77"/>
      <c r="K38" s="77"/>
      <c r="L38" s="72"/>
    </row>
    <row r="39" spans="1:12">
      <c r="A39" s="73"/>
      <c r="B39" s="74" t="s">
        <v>52</v>
      </c>
      <c r="C39" s="23"/>
      <c r="D39" s="23"/>
      <c r="E39" s="23"/>
      <c r="F39" s="23"/>
      <c r="G39" s="23"/>
      <c r="H39" s="23"/>
      <c r="I39" s="23"/>
      <c r="J39" s="23"/>
    </row>
    <row r="40" spans="1:12">
      <c r="A40" s="23"/>
      <c r="B40" s="96" t="s">
        <v>53</v>
      </c>
      <c r="C40" s="96"/>
      <c r="D40" s="96"/>
      <c r="E40" s="96"/>
      <c r="F40" s="96"/>
      <c r="G40" s="96"/>
      <c r="H40" s="96"/>
      <c r="I40" s="96"/>
      <c r="J40" s="96"/>
      <c r="K40" s="96"/>
    </row>
    <row r="41" spans="1:12">
      <c r="A41" s="23"/>
      <c r="B41" s="96" t="s">
        <v>54</v>
      </c>
      <c r="C41" s="96"/>
      <c r="D41" s="96"/>
      <c r="E41" s="96"/>
      <c r="F41" s="96"/>
      <c r="G41" s="96"/>
      <c r="H41" s="96"/>
      <c r="I41" s="96"/>
      <c r="J41" s="96"/>
      <c r="K41" s="96"/>
    </row>
    <row r="42" spans="1:12">
      <c r="A42" s="23"/>
      <c r="B42" s="96" t="s">
        <v>55</v>
      </c>
      <c r="C42" s="96"/>
      <c r="D42" s="96"/>
      <c r="E42" s="96"/>
      <c r="F42" s="96"/>
      <c r="G42" s="96"/>
      <c r="H42" s="96"/>
      <c r="I42" s="96"/>
      <c r="J42" s="96"/>
      <c r="K42" s="96"/>
    </row>
    <row r="43" spans="1:12">
      <c r="A43" s="23"/>
      <c r="B43" s="96" t="s">
        <v>56</v>
      </c>
      <c r="C43" s="96"/>
      <c r="D43" s="96"/>
      <c r="E43" s="96"/>
      <c r="F43" s="96"/>
      <c r="G43" s="96"/>
      <c r="H43" s="96"/>
      <c r="I43" s="96"/>
      <c r="J43" s="96"/>
      <c r="K43" s="96"/>
    </row>
    <row r="44" spans="1:12">
      <c r="A44" s="23"/>
      <c r="B44" s="96" t="s">
        <v>57</v>
      </c>
      <c r="C44" s="96"/>
      <c r="D44" s="96"/>
      <c r="E44" s="96"/>
      <c r="F44" s="96"/>
      <c r="G44" s="96"/>
      <c r="H44" s="96"/>
      <c r="I44" s="96"/>
      <c r="J44" s="96"/>
      <c r="K44" s="96"/>
    </row>
    <row r="45" spans="1:12">
      <c r="A45" s="23"/>
      <c r="B45" s="96" t="s">
        <v>58</v>
      </c>
      <c r="C45" s="96"/>
      <c r="D45" s="96"/>
      <c r="E45" s="96"/>
      <c r="F45" s="96"/>
      <c r="G45" s="96"/>
      <c r="H45" s="96"/>
      <c r="I45" s="96"/>
      <c r="J45" s="96"/>
      <c r="K45" s="96"/>
    </row>
    <row r="46" spans="1:12">
      <c r="A46" s="23"/>
      <c r="B46" s="96" t="s">
        <v>59</v>
      </c>
      <c r="C46" s="96"/>
      <c r="D46" s="96"/>
      <c r="E46" s="96"/>
      <c r="F46" s="96"/>
      <c r="G46" s="96"/>
      <c r="H46" s="96"/>
      <c r="I46" s="96"/>
      <c r="J46" s="96"/>
      <c r="K46" s="96"/>
    </row>
    <row r="47" spans="1:12">
      <c r="A47" s="23"/>
      <c r="B47" s="96" t="s">
        <v>60</v>
      </c>
      <c r="C47" s="96"/>
      <c r="D47" s="96"/>
      <c r="E47" s="96"/>
      <c r="F47" s="96"/>
      <c r="G47" s="96"/>
      <c r="H47" s="96"/>
      <c r="I47" s="96"/>
      <c r="J47" s="96"/>
      <c r="K47" s="96"/>
    </row>
    <row r="48" spans="1:12">
      <c r="A48" s="23"/>
      <c r="B48" s="96" t="s">
        <v>61</v>
      </c>
      <c r="C48" s="96"/>
      <c r="D48" s="96"/>
      <c r="E48" s="96"/>
      <c r="F48" s="96"/>
      <c r="G48" s="96"/>
      <c r="H48" s="96"/>
      <c r="I48" s="96"/>
      <c r="J48" s="96"/>
      <c r="K48" s="96"/>
    </row>
    <row r="50" spans="1:11" ht="18.75">
      <c r="A50" s="10" t="s">
        <v>50</v>
      </c>
      <c r="B50" s="93" t="s">
        <v>63</v>
      </c>
      <c r="C50" s="93"/>
      <c r="D50" s="93"/>
      <c r="E50" s="93"/>
      <c r="F50" s="94"/>
      <c r="G50" s="20"/>
      <c r="H50" s="20"/>
      <c r="I50" s="20"/>
      <c r="J50" s="20"/>
      <c r="K50" s="20"/>
    </row>
    <row r="51" spans="1:11">
      <c r="B51" s="21" t="s">
        <v>64</v>
      </c>
      <c r="C51" s="22" t="s">
        <v>68</v>
      </c>
      <c r="D51" s="22" t="s">
        <v>65</v>
      </c>
      <c r="E51" s="24" t="s">
        <v>66</v>
      </c>
      <c r="F51" s="55" t="s">
        <v>67</v>
      </c>
      <c r="G51" s="23"/>
      <c r="H51" s="23"/>
      <c r="I51" s="23"/>
      <c r="J51" s="23"/>
      <c r="K51" s="23"/>
    </row>
    <row r="52" spans="1:11" ht="3.75" customHeight="1">
      <c r="B52" s="30"/>
      <c r="C52" s="31"/>
      <c r="D52" s="31"/>
      <c r="E52" s="56"/>
      <c r="F52" s="57"/>
    </row>
    <row r="53" spans="1:11">
      <c r="B53" s="61" t="s">
        <v>72</v>
      </c>
      <c r="C53" s="62">
        <f>E8</f>
        <v>250000</v>
      </c>
      <c r="D53" s="63">
        <f>F8</f>
        <v>0.25</v>
      </c>
      <c r="E53" s="64" t="s">
        <v>76</v>
      </c>
      <c r="F53" s="65" t="s">
        <v>77</v>
      </c>
    </row>
    <row r="54" spans="1:11">
      <c r="B54" s="28" t="s">
        <v>73</v>
      </c>
      <c r="C54" s="33">
        <f>E12</f>
        <v>120000</v>
      </c>
      <c r="D54" s="34">
        <f>F12</f>
        <v>0.15384615384615385</v>
      </c>
      <c r="E54" s="59" t="s">
        <v>69</v>
      </c>
      <c r="F54" s="26" t="s">
        <v>78</v>
      </c>
    </row>
    <row r="55" spans="1:11">
      <c r="B55" s="27" t="s">
        <v>74</v>
      </c>
      <c r="C55" s="32">
        <f>E9</f>
        <v>100000</v>
      </c>
      <c r="D55" s="35">
        <f>F9</f>
        <v>0.25</v>
      </c>
      <c r="E55" s="58" t="s">
        <v>70</v>
      </c>
      <c r="F55" s="25" t="s">
        <v>80</v>
      </c>
    </row>
    <row r="56" spans="1:11">
      <c r="B56" s="27" t="s">
        <v>75</v>
      </c>
      <c r="C56" s="32">
        <f>I8</f>
        <v>100000</v>
      </c>
      <c r="D56" s="35">
        <f>J8</f>
        <v>8.6956521739130432E-2</v>
      </c>
      <c r="E56" s="58" t="s">
        <v>79</v>
      </c>
      <c r="F56" s="25" t="s">
        <v>71</v>
      </c>
    </row>
    <row r="57" spans="1:11">
      <c r="B57" s="29"/>
      <c r="C57" s="67"/>
      <c r="D57" s="68"/>
      <c r="E57" s="60"/>
      <c r="F57" s="69"/>
    </row>
    <row r="58" spans="1:11" ht="15.75" thickBot="1">
      <c r="B58" s="66"/>
      <c r="C58" s="71"/>
      <c r="D58" s="71"/>
      <c r="E58" s="71"/>
      <c r="F58" s="71"/>
    </row>
    <row r="59" spans="1:11" ht="20.25" thickTop="1" thickBot="1">
      <c r="A59" s="70"/>
      <c r="B59" s="80" t="s">
        <v>88</v>
      </c>
      <c r="C59" s="80"/>
      <c r="D59" s="80"/>
      <c r="E59" s="80"/>
      <c r="F59" s="80"/>
      <c r="G59" s="80"/>
      <c r="H59" s="80"/>
      <c r="I59" s="75"/>
      <c r="J59" s="75"/>
      <c r="K59" s="75"/>
    </row>
    <row r="60" spans="1:11" ht="15.75" thickTop="1">
      <c r="B60" s="78" t="s">
        <v>81</v>
      </c>
      <c r="C60" s="78"/>
      <c r="D60" s="78"/>
      <c r="E60" s="78"/>
      <c r="F60" s="78"/>
      <c r="G60" s="78"/>
      <c r="H60" s="78"/>
      <c r="I60" s="1"/>
      <c r="J60" s="1"/>
      <c r="K60" s="1"/>
    </row>
    <row r="61" spans="1:11">
      <c r="B61" s="78" t="s">
        <v>82</v>
      </c>
      <c r="C61" s="78"/>
      <c r="D61" s="78"/>
      <c r="E61" s="78"/>
      <c r="F61" s="78"/>
      <c r="G61" s="78"/>
      <c r="H61" s="78"/>
      <c r="I61" s="1"/>
      <c r="J61" s="1"/>
      <c r="K61" s="1"/>
    </row>
    <row r="62" spans="1:11">
      <c r="B62" s="78" t="s">
        <v>83</v>
      </c>
      <c r="C62" s="78"/>
      <c r="D62" s="78"/>
      <c r="E62" s="78"/>
      <c r="F62" s="78"/>
      <c r="G62" s="78"/>
      <c r="H62" s="78"/>
      <c r="I62" s="1"/>
      <c r="J62" s="1"/>
      <c r="K62" s="1"/>
    </row>
    <row r="63" spans="1:11">
      <c r="B63" s="78" t="s">
        <v>84</v>
      </c>
      <c r="C63" s="78"/>
      <c r="D63" s="78"/>
      <c r="E63" s="78"/>
      <c r="F63" s="78"/>
      <c r="G63" s="78"/>
      <c r="H63" s="78"/>
      <c r="I63" s="1"/>
      <c r="J63" s="1"/>
      <c r="K63" s="1"/>
    </row>
    <row r="64" spans="1:11">
      <c r="B64" s="78" t="s">
        <v>85</v>
      </c>
      <c r="C64" s="78"/>
      <c r="D64" s="78"/>
      <c r="E64" s="78"/>
      <c r="F64" s="78"/>
      <c r="G64" s="78"/>
      <c r="H64" s="78"/>
      <c r="I64" s="1"/>
      <c r="J64" s="1"/>
      <c r="K64" s="1"/>
    </row>
    <row r="65" spans="1:11">
      <c r="B65" s="78" t="s">
        <v>86</v>
      </c>
      <c r="C65" s="78"/>
      <c r="D65" s="78"/>
      <c r="E65" s="78"/>
      <c r="F65" s="78"/>
      <c r="G65" s="78"/>
      <c r="H65" s="78"/>
      <c r="I65" s="1"/>
      <c r="J65" s="1"/>
      <c r="K65" s="1"/>
    </row>
    <row r="66" spans="1:11">
      <c r="B66" s="78" t="s">
        <v>87</v>
      </c>
      <c r="C66" s="78"/>
      <c r="D66" s="78"/>
      <c r="E66" s="78"/>
      <c r="F66" s="78"/>
      <c r="G66" s="78"/>
      <c r="H66" s="78"/>
      <c r="I66" s="1"/>
      <c r="J66" s="1"/>
      <c r="K66" s="1"/>
    </row>
    <row r="67" spans="1:11">
      <c r="A67" s="79"/>
      <c r="B67" s="79"/>
      <c r="C67" s="79"/>
      <c r="D67" s="79"/>
      <c r="E67" s="79"/>
      <c r="F67" s="79"/>
      <c r="G67" s="79"/>
      <c r="H67" s="79"/>
      <c r="I67" s="79"/>
      <c r="J67" s="79"/>
    </row>
    <row r="68" spans="1:11">
      <c r="B68" s="95"/>
      <c r="C68" s="95"/>
      <c r="D68" s="95"/>
      <c r="E68" s="95"/>
      <c r="F68" s="95"/>
      <c r="G68" s="95"/>
      <c r="H68" s="95"/>
      <c r="I68" s="95"/>
      <c r="J68" s="95"/>
      <c r="K68" s="95"/>
    </row>
  </sheetData>
  <mergeCells count="31">
    <mergeCell ref="B16:K16"/>
    <mergeCell ref="B21:K21"/>
    <mergeCell ref="B19:K19"/>
    <mergeCell ref="B20:K20"/>
    <mergeCell ref="B4:K4"/>
    <mergeCell ref="B5:K5"/>
    <mergeCell ref="A67:J67"/>
    <mergeCell ref="B59:H59"/>
    <mergeCell ref="B50:F50"/>
    <mergeCell ref="B33:K33"/>
    <mergeCell ref="B18:K18"/>
    <mergeCell ref="B28:K28"/>
    <mergeCell ref="B26:K26"/>
    <mergeCell ref="B23:K23"/>
    <mergeCell ref="B40:K40"/>
    <mergeCell ref="B41:K41"/>
    <mergeCell ref="B42:K42"/>
    <mergeCell ref="B43:K43"/>
    <mergeCell ref="B45:K45"/>
    <mergeCell ref="B44:K44"/>
    <mergeCell ref="B46:K46"/>
    <mergeCell ref="B47:K47"/>
    <mergeCell ref="B38:K38"/>
    <mergeCell ref="B66:H66"/>
    <mergeCell ref="B60:H60"/>
    <mergeCell ref="B61:H61"/>
    <mergeCell ref="B62:H62"/>
    <mergeCell ref="B63:H63"/>
    <mergeCell ref="B64:H64"/>
    <mergeCell ref="B65:H65"/>
    <mergeCell ref="B48:K48"/>
  </mergeCells>
  <conditionalFormatting sqref="G10:G11 G8 G13:G14">
    <cfRule type="cellIs" dxfId="9" priority="19" operator="greaterThan">
      <formula>$G$9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">
    <cfRule type="cellIs" dxfId="8" priority="15" operator="greaterThan">
      <formula>$G$9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">
    <cfRule type="cellIs" dxfId="7" priority="13" operator="greaterThan">
      <formula>$G$9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K11">
    <cfRule type="cellIs" dxfId="6" priority="11" operator="greaterThan">
      <formula>$G$9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K14">
    <cfRule type="cellIs" dxfId="5" priority="9" operator="greaterThan">
      <formula>$G$9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">
    <cfRule type="cellIs" dxfId="4" priority="7" operator="greaterThan">
      <formula>$G$9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">
    <cfRule type="cellIs" dxfId="3" priority="5" operator="greaterThan">
      <formula>$G$9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">
    <cfRule type="cellIs" dxfId="2" priority="3" operator="greaterThan">
      <formula>$G$9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G14">
    <cfRule type="containsText" dxfId="1" priority="2" operator="containsText" text="un">
      <formula>NOT(ISERROR(SEARCH("un",G8)))</formula>
    </cfRule>
  </conditionalFormatting>
  <conditionalFormatting sqref="K8:K14">
    <cfRule type="containsText" dxfId="0" priority="1" operator="containsText" text="un">
      <formula>NOT(ISERROR(SEARCH("un",K8)))</formula>
    </cfRule>
  </conditionalFormatting>
  <pageMargins left="0.7" right="0.7" top="0.75" bottom="0.75" header="0.3" footer="0.3"/>
  <pageSetup paperSize="9" orientation="portrait" horizontalDpi="360" verticalDpi="360" r:id="rId1"/>
  <ignoredErrors>
    <ignoredError sqref="E11:F11 I11:J11 G12:K12 G9:K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3:L25"/>
  <sheetViews>
    <sheetView showGridLines="0" topLeftCell="A13" workbookViewId="0">
      <selection activeCell="E23" sqref="E23"/>
    </sheetView>
  </sheetViews>
  <sheetFormatPr defaultRowHeight="15"/>
  <cols>
    <col min="1" max="1" width="1.85546875" customWidth="1"/>
    <col min="2" max="2" width="25.85546875" customWidth="1"/>
    <col min="3" max="3" width="14.42578125" customWidth="1"/>
    <col min="4" max="4" width="16.28515625" customWidth="1"/>
    <col min="5" max="5" width="18.28515625" customWidth="1"/>
  </cols>
  <sheetData>
    <row r="3" spans="2:12">
      <c r="B3" s="2" t="s">
        <v>0</v>
      </c>
    </row>
    <row r="4" spans="2:12" ht="20.25">
      <c r="B4" s="76" t="s">
        <v>1</v>
      </c>
      <c r="C4" s="76"/>
      <c r="D4" s="76"/>
      <c r="E4" s="76"/>
      <c r="F4" s="6"/>
      <c r="G4" s="6"/>
      <c r="H4" s="6"/>
      <c r="I4" s="6"/>
      <c r="J4" s="6"/>
      <c r="K4" s="6"/>
      <c r="L4" s="7"/>
    </row>
    <row r="7" spans="2:12">
      <c r="B7" t="s">
        <v>2</v>
      </c>
    </row>
    <row r="8" spans="2:12">
      <c r="B8" s="3" t="s">
        <v>3</v>
      </c>
      <c r="C8" s="3" t="s">
        <v>4</v>
      </c>
      <c r="D8" s="3" t="s">
        <v>5</v>
      </c>
      <c r="E8" s="16" t="s">
        <v>6</v>
      </c>
    </row>
    <row r="9" spans="2:12">
      <c r="B9" s="1" t="s">
        <v>7</v>
      </c>
      <c r="C9" s="4">
        <v>1250000</v>
      </c>
      <c r="D9" s="4">
        <v>1000000</v>
      </c>
      <c r="E9" s="4">
        <v>1150000</v>
      </c>
    </row>
    <row r="10" spans="2:12">
      <c r="B10" s="1" t="s">
        <v>8</v>
      </c>
      <c r="C10" s="4">
        <v>500000</v>
      </c>
      <c r="D10" s="4">
        <v>400000</v>
      </c>
      <c r="E10" s="4">
        <v>460000</v>
      </c>
    </row>
    <row r="11" spans="2:12">
      <c r="B11" s="1" t="s">
        <v>9</v>
      </c>
      <c r="C11" s="4">
        <v>750000</v>
      </c>
      <c r="D11" s="4">
        <v>600000</v>
      </c>
      <c r="E11" s="4">
        <v>690000</v>
      </c>
    </row>
    <row r="12" spans="2:12">
      <c r="B12" s="1" t="s">
        <v>10</v>
      </c>
      <c r="C12" s="5">
        <f t="shared" ref="C12:E12" si="0">C11/C9</f>
        <v>0.6</v>
      </c>
      <c r="D12" s="5">
        <f t="shared" si="0"/>
        <v>0.6</v>
      </c>
      <c r="E12" s="5">
        <f t="shared" si="0"/>
        <v>0.6</v>
      </c>
    </row>
    <row r="13" spans="2:12">
      <c r="B13" s="1" t="s">
        <v>11</v>
      </c>
      <c r="C13" s="4">
        <v>425000</v>
      </c>
      <c r="D13" s="4">
        <v>350000</v>
      </c>
      <c r="E13" s="4">
        <v>402500</v>
      </c>
    </row>
    <row r="14" spans="2:12">
      <c r="B14" s="1" t="s">
        <v>12</v>
      </c>
      <c r="C14" s="4">
        <v>312500</v>
      </c>
      <c r="D14" s="4">
        <v>280000</v>
      </c>
      <c r="E14" s="4">
        <v>322000</v>
      </c>
    </row>
    <row r="15" spans="2:12">
      <c r="B15" s="1" t="s">
        <v>13</v>
      </c>
      <c r="C15" s="4">
        <v>162500</v>
      </c>
      <c r="D15" s="4">
        <v>150000</v>
      </c>
      <c r="E15" s="4">
        <v>138000</v>
      </c>
    </row>
    <row r="16" spans="2:12">
      <c r="B16" s="1" t="s">
        <v>14</v>
      </c>
      <c r="C16" s="4">
        <v>900000</v>
      </c>
      <c r="D16" s="4">
        <v>780000</v>
      </c>
      <c r="E16" s="4">
        <v>862500</v>
      </c>
    </row>
    <row r="17" spans="2:6">
      <c r="B17" s="1" t="s">
        <v>15</v>
      </c>
      <c r="C17" s="4">
        <v>-150000</v>
      </c>
      <c r="D17" s="4">
        <v>-180000</v>
      </c>
      <c r="E17" s="4">
        <v>-172500</v>
      </c>
    </row>
    <row r="18" spans="2:6">
      <c r="B18" s="1" t="s">
        <v>16</v>
      </c>
      <c r="C18" s="5">
        <f t="shared" ref="C18:E18" si="1">C17/C9</f>
        <v>-0.12</v>
      </c>
      <c r="D18" s="5">
        <f t="shared" si="1"/>
        <v>-0.18</v>
      </c>
      <c r="E18" s="5">
        <f t="shared" si="1"/>
        <v>-0.15</v>
      </c>
    </row>
    <row r="20" spans="2:6">
      <c r="B20" s="17" t="s">
        <v>17</v>
      </c>
      <c r="C20" s="17"/>
      <c r="D20" s="17"/>
      <c r="E20" s="17"/>
      <c r="F20" s="8"/>
    </row>
    <row r="21" spans="2:6">
      <c r="B21" t="s">
        <v>18</v>
      </c>
    </row>
    <row r="22" spans="2:6">
      <c r="B22" t="s">
        <v>19</v>
      </c>
    </row>
    <row r="23" spans="2:6">
      <c r="B23" t="s">
        <v>20</v>
      </c>
    </row>
    <row r="24" spans="2:6">
      <c r="B24" t="s">
        <v>21</v>
      </c>
    </row>
    <row r="25" spans="2:6">
      <c r="B25" t="s">
        <v>22</v>
      </c>
    </row>
  </sheetData>
  <mergeCells count="1">
    <mergeCell ref="B4:E4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Variance Analysis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dcterms:created xsi:type="dcterms:W3CDTF">2026-03-28T00:38:04Z</dcterms:created>
  <dcterms:modified xsi:type="dcterms:W3CDTF">2026-03-29T13:38:22Z</dcterms:modified>
</cp:coreProperties>
</file>